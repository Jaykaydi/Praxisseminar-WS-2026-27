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fb962ea2827d2f9/Dokumente/Studium/WINGS/3. Semester/Praxisseminar/Arbeitsdokumente/"/>
    </mc:Choice>
  </mc:AlternateContent>
  <xr:revisionPtr revIDLastSave="302" documentId="8_{3573D567-965D-4040-80F4-FA8F71F62E69}" xr6:coauthVersionLast="47" xr6:coauthVersionMax="47" xr10:uidLastSave="{54CD7E16-33C9-47C8-9066-4038C54C0089}"/>
  <bookViews>
    <workbookView xWindow="-120" yWindow="-120" windowWidth="29040" windowHeight="15720" activeTab="2" xr2:uid="{F752937B-D016-41C0-BBC0-33BE39BE95B6}"/>
  </bookViews>
  <sheets>
    <sheet name="Prüfblatt" sheetId="1" r:id="rId1"/>
    <sheet name="V0" sheetId="2" r:id="rId2"/>
    <sheet name="V1" sheetId="3" r:id="rId3"/>
    <sheet name="V2" sheetId="4" r:id="rId4"/>
    <sheet name="V3" sheetId="5" r:id="rId5"/>
    <sheet name="V3 + Kontext" sheetId="8" r:id="rId6"/>
    <sheet name="Prüfliste A4" sheetId="6" r:id="rId7"/>
    <sheet name="Vergleich (summiert)"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1" i="8" l="1"/>
  <c r="R41" i="8"/>
  <c r="M41" i="8"/>
  <c r="H41" i="8"/>
  <c r="H38" i="8"/>
  <c r="H37" i="8"/>
  <c r="H36" i="8"/>
  <c r="H35" i="8"/>
  <c r="H34" i="8"/>
  <c r="H32" i="8"/>
  <c r="H31" i="8"/>
  <c r="H30" i="8"/>
  <c r="H29" i="8"/>
  <c r="H28" i="8"/>
  <c r="H26" i="8"/>
  <c r="H25" i="8"/>
  <c r="H24" i="8"/>
  <c r="H22" i="8"/>
  <c r="H21" i="8"/>
  <c r="H20" i="8"/>
  <c r="H18" i="8"/>
  <c r="H17" i="8"/>
  <c r="H16" i="8"/>
  <c r="H15" i="8"/>
  <c r="H14" i="8"/>
  <c r="H12" i="8"/>
  <c r="H11" i="8"/>
  <c r="H10" i="8"/>
  <c r="H9" i="8"/>
  <c r="W42" i="8"/>
  <c r="H7" i="8"/>
  <c r="H40" i="5"/>
  <c r="H41" i="5"/>
  <c r="H42" i="5" s="1"/>
  <c r="H40" i="4"/>
  <c r="H41" i="4"/>
  <c r="H40" i="3"/>
  <c r="H41" i="3"/>
  <c r="H39" i="2"/>
  <c r="H40" i="2"/>
  <c r="Z28" i="8" l="1"/>
  <c r="AA28" i="8"/>
  <c r="AA15" i="8"/>
  <c r="Z15" i="8"/>
  <c r="AA30" i="8"/>
  <c r="Z30" i="8"/>
  <c r="Z10" i="8"/>
  <c r="AA10" i="8"/>
  <c r="Z12" i="8"/>
  <c r="AA12" i="8"/>
  <c r="Z16" i="8"/>
  <c r="AA16" i="8"/>
  <c r="Z31" i="8"/>
  <c r="AA31" i="8"/>
  <c r="Z17" i="8"/>
  <c r="AA17" i="8"/>
  <c r="AA32" i="8"/>
  <c r="Z32" i="8"/>
  <c r="Z11" i="8"/>
  <c r="AA11" i="8"/>
  <c r="Z29" i="8"/>
  <c r="AA29" i="8"/>
  <c r="Z18" i="8"/>
  <c r="AA18" i="8"/>
  <c r="Z34" i="8"/>
  <c r="AA34" i="8"/>
  <c r="Z20" i="8"/>
  <c r="AA20" i="8"/>
  <c r="Z35" i="8"/>
  <c r="AA35" i="8"/>
  <c r="Z7" i="8"/>
  <c r="AA7" i="8"/>
  <c r="AA21" i="8"/>
  <c r="Z21" i="8"/>
  <c r="Z36" i="8"/>
  <c r="AA36" i="8"/>
  <c r="AA22" i="8"/>
  <c r="Z22" i="8"/>
  <c r="AA37" i="8"/>
  <c r="Z37" i="8"/>
  <c r="AA25" i="8"/>
  <c r="Z25" i="8"/>
  <c r="Z26" i="8"/>
  <c r="AA26" i="8"/>
  <c r="Z14" i="8"/>
  <c r="AA14" i="8"/>
  <c r="Z9" i="8"/>
  <c r="AA9" i="8"/>
  <c r="Z24" i="8"/>
  <c r="AA24" i="8"/>
  <c r="Z38" i="8"/>
  <c r="AA38" i="8"/>
  <c r="H41" i="2"/>
  <c r="R42" i="8"/>
  <c r="R43" i="8" s="1"/>
  <c r="M42" i="8"/>
  <c r="M43" i="8" s="1"/>
  <c r="W43" i="8"/>
  <c r="H42" i="8"/>
  <c r="H43" i="8" s="1"/>
  <c r="H42" i="3"/>
  <c r="H42" i="4"/>
</calcChain>
</file>

<file path=xl/sharedStrings.xml><?xml version="1.0" encoding="utf-8"?>
<sst xmlns="http://schemas.openxmlformats.org/spreadsheetml/2006/main" count="1801" uniqueCount="546">
  <si>
    <t>Prüfblatt für die Durchläufe</t>
  </si>
  <si>
    <t>Werte: 2 = erfüllt · 1 = teilweise · 0 = nicht erfüllt. Manche Punkte haben nur 2 und 0. Es gilt immer die Regel des jeweiligen Punkts. Als Konstrukt zählt nur, was in der Ausgabe mit eigenen Items gemessen wird. Kategorien, die nur den Rahmen der Items bilden (z. B. Aufgabentypen), zählen nicht.</t>
  </si>
  <si>
    <t>Nr.</t>
  </si>
  <si>
    <t>Prüffrage</t>
  </si>
  <si>
    <t>Bewertungsregel</t>
  </si>
  <si>
    <t>Status</t>
  </si>
  <si>
    <t>Mindestwert</t>
  </si>
  <si>
    <t>Ziel</t>
  </si>
  <si>
    <t>Wer prüft</t>
  </si>
  <si>
    <t>Beleg</t>
  </si>
  <si>
    <t>P Prompt (prüft die Autorin am Prompt)</t>
  </si>
  <si>
    <t>P1</t>
  </si>
  <si>
    <t>Nennt der Prompt weder eine Theorie noch eine Liste von Konstrukten?</t>
  </si>
  <si>
    <t>2 = weder Theorie noch Konstruktliste im Prompt. 0 = sonst. Nicht als Vorgabe zählen: das Wort „theoriebasiert“, der Anwendungsfall (ab V1), mitgegebene Dateien sowie Verfahrens- und Formulierungsregeln.</t>
  </si>
  <si>
    <t>Pflicht</t>
  </si>
  <si>
    <t>Z1</t>
  </si>
  <si>
    <t>Autorin</t>
  </si>
  <si>
    <t>Pruefungsleistung_v2; Martini et al. 2026, S. 3; Kowal et al. 2025, S. 5–6; Hernandez &amp; Nie 2023, S. 1029</t>
  </si>
  <si>
    <t>A Theorie und Konstrukte (Ziel Z1)</t>
  </si>
  <si>
    <t>A1</t>
  </si>
  <si>
    <t>Wird eine Theorie vorgeschlagen und begründet, warum sie für die einzelnen Mitarbeitenden und den Zweck passt?</t>
  </si>
  <si>
    <t>2 = Theorie genannt, Bezug auf Mitarbeitende und Zweck begründet und gegen mindestens eine Alternative abgegrenzt. 1 = genannt, aber nur allgemein begründet oder ohne Alternative. 0 = keine Theorie, keine Begründung oder eine Theorie für eine andere Ebene (z. B. Organisation) ohne Begründung.</t>
  </si>
  <si>
    <t>Hinkin 1995, PDF-S. 3 (deduktives Vorgehen); Jöhnk et al. 2021, Abb. 1, S. 8; Pruefungsleistung_v2</t>
  </si>
  <si>
    <t>A2</t>
  </si>
  <si>
    <t>Ist jedes Konstrukt definiert: was es ist, wer es hat und woraus es besteht?</t>
  </si>
  <si>
    <t>2 = jedes Konstrukt hat eine vollständige Definition, und das Zielkonstrukt enthält keinen seiner Einflussfaktoren. 1 = jedes Konstrukt hat eine Definition, aber nicht alle sind vollständig. 0 = mindestens ein Konstrukt ohne Definition, oder ein Einflussfaktor steckt in der Definition des Zielkonstrukts.</t>
  </si>
  <si>
    <t>Lambert &amp; Newman 2023, Tab. 1, S. 580 (inkl. e); Hernandez &amp; Nie 2023, S. 1012; Moosbrugger &amp; Kelava 2020, S. 15</t>
  </si>
  <si>
    <t>A3</t>
  </si>
  <si>
    <t>Ist jede Hypothese mit der Theorie oder einer zitierten Studie begründet?</t>
  </si>
  <si>
    <t>2 = alle Hypothesen begründet. 0 = mindestens eine unbegründet oder keine Hypothesen.</t>
  </si>
  <si>
    <t>Paper 4, PDF-S. 7–8; Foliensatz_v2, Folien 10–12; Evaluationsbogen_v3</t>
  </si>
  <si>
    <t>A4</t>
  </si>
  <si>
    <t>Wie viele der 14 Konstrukte des Referenzrahmens kommen vor oder fehlen mit Begründung?</t>
  </si>
  <si>
    <t>Anteil in %. Kein Mindestwert: Die finale Version soll höher liegen als V0. Ein Konstrukt der Ausgabe zählt nur einmal.</t>
  </si>
  <si>
    <t>Verbesserung</t>
  </si>
  <si>
    <t>–</t>
  </si>
  <si>
    <t>Terwee et al. 2018, Tab. 4, Krit. 6, S. 1166;</t>
  </si>
  <si>
    <t>B Items (Ziel Z3)</t>
  </si>
  <si>
    <t>B1</t>
  </si>
  <si>
    <t>Hat jedes Konstrukt mindestens 3 Items?</t>
  </si>
  <si>
    <t>2 = alle Konstrukte. 0 = mindestens ein Konstrukt hat weniger.</t>
  </si>
  <si>
    <t>Z3</t>
  </si>
  <si>
    <t>Moosbrugger &amp; Kelava 2020, S. 15; Lambert &amp; Newman 2023, Tab. 1, S. 581; S. 587</t>
  </si>
  <si>
    <t>B2</t>
  </si>
  <si>
    <t>Passt jedes Item zu seinem Konstrukt, zu Mitarbeitenden als Befragten und zum Zweck (Erhebung vor einer KI-Einführung)?</t>
  </si>
  <si>
    <t>2 = alle Items passen. 0 = mindestens eins passt nicht (z. B. ein Angst-Item in der Skala Selbstwirksamkeit oder ein Item für Studierende statt Mitarbeitende).</t>
  </si>
  <si>
    <t xml:space="preserve">Moosbrugger &amp; Kelava 2020, S. 32 (Inhaltsvalidität); Terwee et al. 2018, Tab. 4, S. 1166, Krit. 1–3; </t>
  </si>
  <si>
    <t>B3</t>
  </si>
  <si>
    <t>Fragt jedes Item nach genau einer Sache, ohne doppelte Verneinung und ohne zwei Konstrukte zu mischen?</t>
  </si>
  <si>
    <t>2 = alle Items. 0 = mindestens ein Item fragt nach zwei Dingen (z. B. „leicht und nützlich“), enthält eine doppelte Verneinung oder mischt zwei Konstrukte.</t>
  </si>
  <si>
    <t>Porst 2014, Gebot 4, S. 106; Lambert &amp; Newman 2023, S. 577, 581; Hommel et al. 2022, S. 766</t>
  </si>
  <si>
    <t>B4</t>
  </si>
  <si>
    <t>Sind die Items einfach und kurz, ohne Suggestion, ohne unbegründete hypothetische Fragen, ohne Wissen vorauszusetzen, das Befragte nicht haben, und ohne benachteiligende Formulierungen?</t>
  </si>
  <si>
    <t>2 = alle Items. 1 = mindestens 80 % der Items. 0 = weniger. Begründete Abweichungen zählen nicht als Verstoß.</t>
  </si>
  <si>
    <t>Zusatz</t>
  </si>
  <si>
    <t xml:space="preserve">Porst 2014, Gebote 1, 2, 3, 5, 6, S. 99–118; Moosbrugger &amp; Kelava 2020, S. 25 (Fairness); </t>
  </si>
  <si>
    <t>B5</t>
  </si>
  <si>
    <t>Sind alle Items unterschiedlich genug?</t>
  </si>
  <si>
    <t>2 = keine fast gleichen Paare (z. B. „KI ist nützlich“ und „KI bringt mir Nutzen“). 1 = ein bis zwei solche Paare. 0 = mehr.</t>
  </si>
  <si>
    <t>Martini et al. 2026, S. 7; Hommel et al. 2022, S. 766</t>
  </si>
  <si>
    <t>C Messmodell und Auswertung (Ziel Z3)</t>
  </si>
  <si>
    <t>C1</t>
  </si>
  <si>
    <t>Ist das Messmodell benannt (reflektiv oder formativ; ein- oder mehrdimensional) und jedes Item genau einem Konstrukt zugeordnet?</t>
  </si>
  <si>
    <t>2 = Messmodell benannt und jedes Item zugeordnet. 1 = nur zugeordnet. 0 = keine Zuordnung.</t>
  </si>
  <si>
    <t>Lambert &amp; Newman 2023, Tab. 1, S. 580; S. 582</t>
  </si>
  <si>
    <t>C2</t>
  </si>
  <si>
    <t>Passt die Antwortskala zur Frage, und ist jeder Skalenpunkt beschriftet?</t>
  </si>
  <si>
    <t>2 = beides. 1 = eins von beidem. 0 = keins. Aussage → Zustimmung, „Wie oft …“ → Häufigkeit, „Wie viel …“ → Ausmaß.</t>
  </si>
  <si>
    <t>Lambert &amp; Newman 2023, Tab. 1, S. 581; S. 587</t>
  </si>
  <si>
    <t>C3</t>
  </si>
  <si>
    <t>Ist festgelegt, wie die Antworten zu Werten verrechnet werden (z. B. Mittelwert je Konstrukt, Umpolung), und ist das Skalenniveau genannt?</t>
  </si>
  <si>
    <t>2 = beides. 1 = eins von beidem. 0 = keins.</t>
  </si>
  <si>
    <t>Moosbrugger &amp; Kelava 2020, S. 19–21</t>
  </si>
  <si>
    <t>D Kontext (Ziel Z2)</t>
  </si>
  <si>
    <t>D1</t>
  </si>
  <si>
    <t>Wird der Unternehmenskontext abgefragt oder als Platzhalter geführt (z. B. „[Tätigkeit]“)?</t>
  </si>
  <si>
    <t>2 = abgefragt oder Platzhalter. 1 = teils Platzhalter, teils ausgedacht. 0 = ausgedacht oder übergangen.</t>
  </si>
  <si>
    <t>Z2</t>
  </si>
  <si>
    <t>Huang et al. 2025, Tab. 1, S. 6; Jöhnk et al. 2021, S. 16;</t>
  </si>
  <si>
    <t>D2</t>
  </si>
  <si>
    <t>Ist das Zielverhalten genau beschrieben: Handlung (KI nutzen), Tätigkeit, Kontext, Zeitraum?</t>
  </si>
  <si>
    <t>2 = alle vier Angaben (Platzhalter zählen). 1 = ein bis drei. 0 = keine.</t>
  </si>
  <si>
    <t>Fishbein &amp; Ajzen 2010, S. 29–30; Porst 2014, Gebot 7</t>
  </si>
  <si>
    <t>D3</t>
  </si>
  <si>
    <t>Wie viele Items beziehen sich auf das Zielverhalten statt auf Technik allgemein?</t>
  </si>
  <si>
    <t>Anteil in %. Platzhalter zählen als Bezug. Kein Mindestwert: Die finale Version soll höher liegen als V0.</t>
  </si>
  <si>
    <t xml:space="preserve">Paper 4, PDF-S. 9; Kowal et al. 2025, S. 6, 10; </t>
  </si>
  <si>
    <t>E Durchführung und Ausgabe (Ziel Z4)</t>
  </si>
  <si>
    <t>E1</t>
  </si>
  <si>
    <t>Enthält die Einleitung für die Befragten (1) die Zusicherung der Anonymität, (2) einen Hinweis zum Ausfüllen und (3) eine Erklärung, was mit KI gemeint ist, mit Beispiel?</t>
  </si>
  <si>
    <t>2 = alle drei. 1 = eins oder zwei. 0 = keins.</t>
  </si>
  <si>
    <t>Z4</t>
  </si>
  <si>
    <t>Moosbrugger &amp; Kelava 2020, S. 18, 26; Fishbein &amp; Ajzen 2010, S. 33; Porst 2014, Gebot 10</t>
  </si>
  <si>
    <t>E2</t>
  </si>
  <si>
    <t>Ist der Fragebogen für die Befragten vollständig (Items und Antwortskala) und frei von Quellen, Hypothesen und Konstruktnamen?</t>
  </si>
  <si>
    <t>2 = vollständig und frei davon. 1 = vollständig, aber solches Material enthalten. 0 = unvollständig. Kürzel wie „KOM1“ oder Überschriften wie „Säule Können“ zählen als Konstruktnamen.</t>
  </si>
  <si>
    <t>Pflicht (ab 1)</t>
  </si>
  <si>
    <t xml:space="preserve">Moosbrugger &amp; Kelava 2020, S. 26–27; </t>
  </si>
  <si>
    <t>E3</t>
  </si>
  <si>
    <t>Gibt es ein Auswertungsblatt mit Zuordnung Item → Konstrukt, Umpolung, Verrechnung und Hinweisen zur Interpretation?</t>
  </si>
  <si>
    <t>2 = alle vier Teile. 1 = ein bis drei. 0 = fehlt.</t>
  </si>
  <si>
    <t>Moosbrugger &amp; Kelava 2020, S. 18–21</t>
  </si>
  <si>
    <t>E4</t>
  </si>
  <si>
    <t>Gibt es eine Arbeitsfassung mit Theorie, Definitionen, Hypothesen und Zuordnung Item → Konstrukt?</t>
  </si>
  <si>
    <t>2 = alle vier Teile. 1 = ein bis drei. 0 = keiner. Nur prüfen, ob die Teile da sind; ihre Qualität prüfen A und F.</t>
  </si>
  <si>
    <t>Lambert &amp; Newman 2023, S. 588; Moosbrugger &amp; Kelava 2020, Abschn. 2.5, S. 36</t>
  </si>
  <si>
    <t>E5</t>
  </si>
  <si>
    <t>Ist der Fragebogen zumutbar und die Reihenfolge geregelt: Bearbeitungsdauer genannt, Itemreihenfolge randomisiert oder begründet?</t>
  </si>
  <si>
    <t xml:space="preserve">Moosbrugger &amp; Kelava 2020, S. 25 (Zumutbarkeit); Porst 2014, Gebot 9, S. 114; </t>
  </si>
  <si>
    <t>F Nachvollziehbarkeit (Ziel Z5)</t>
  </si>
  <si>
    <t>F1</t>
  </si>
  <si>
    <t>Führt jedes Item über ein definiertes Konstrukt und eine Hypothese zur Theorie zurück?</t>
  </si>
  <si>
    <t>2 = bei allen Items lückenlos. 0 = mindestens ein Item oder Konstrukt ohne Anschluss. Demografie- und Kontrollfragen sind ausgenommen.</t>
  </si>
  <si>
    <t>Z5</t>
  </si>
  <si>
    <t>Lambert &amp; Newman 2023, S. 587–588</t>
  </si>
  <si>
    <t>F2</t>
  </si>
  <si>
    <t>Sind die Theoriewahl, die Auswahl der Konstrukte (auch was weggelassen wurde) und Abweichungen von Regeln begründet?</t>
  </si>
  <si>
    <t>2 = alle drei. 1 = Theorie- und Konstruktauswahl begründet, Abweichungen nicht. 0 = Theorie- oder Konstruktauswahl unbegründet.</t>
  </si>
  <si>
    <t xml:space="preserve">Porst 2014, S. 118; Terwee et al. 2018, Krit. 6; </t>
  </si>
  <si>
    <t>F3</t>
  </si>
  <si>
    <t>Hat jedes Item eine Herkunftsangabe: woher (Datensatz oder Quelle) und wie (übernommen, angepasst oder neu)?</t>
  </si>
  <si>
    <t>2 = alle Items. 0 = mindestens eins ohne Angabe.</t>
  </si>
  <si>
    <t>Lambert &amp; Newman 2023, S. 588; Martini et al. 2026, S. 3–4; Huang et al. 2025, Abschn. 6.2.2</t>
  </si>
  <si>
    <t>F4</t>
  </si>
  <si>
    <t>Halten alle Quellen außerhalb des Datensatzes der Gegenprüfung stand?</t>
  </si>
  <si>
    <t>Je Quelle: belegt · widerlegt · erfunden · nicht prüfbar (Blatt „Quellenprüfung“). 2 = keine erfundene und keine widerlegte Quelle. 0 = mindestens eine. Keine externen Quellen = 2. „Nicht prüfbar“ wird gezählt, ist aber kein K.o.</t>
  </si>
  <si>
    <t xml:space="preserve">Huang et al. 2025, S. 7; </t>
  </si>
  <si>
    <t>F5</t>
  </si>
  <si>
    <t>Sind geschützte Items (TRI 1.0/2.0, AAAW) nicht wörtlich übernommen und alle Übernahmen gekennzeichnet?</t>
  </si>
  <si>
    <t>2 = ja. 0 = sonst.</t>
  </si>
  <si>
    <t>Parasuraman &amp; Colby 2015, S. 64; Park et al. 2024, S. 923–924</t>
  </si>
  <si>
    <t>Bewertung V0 (Ausgangsversion)</t>
  </si>
  <si>
    <t>Lauf 1</t>
  </si>
  <si>
    <t>Prüffrage und Regel</t>
  </si>
  <si>
    <t>Mindest-
wert</t>
  </si>
  <si>
    <t>in
Quote?</t>
  </si>
  <si>
    <t>Endwert</t>
  </si>
  <si>
    <t>Fundstelle / Begründung</t>
  </si>
  <si>
    <t>Fehlerkategorie</t>
  </si>
  <si>
    <t>Nennt der Prompt weder eine Theorie noch eine Liste von Konstrukten?
2 = weder Theorie noch Konstruktliste im Prompt. 0 = sonst. Nicht als Vorgabe zählen: das Wort „theoriebasiert“, der Anwendungsfall (ab V1), mitgegebene Dateien sowie Verfahrens- und Formulierungsregeln.</t>
  </si>
  <si>
    <t>nein</t>
  </si>
  <si>
    <t>Wird eine Theorie vorgeschlagen und begründet, warum sie für die einzelnen Mitarbeitenden und den Zweck passt?
2 = Theorie genannt, Bezug auf Mitarbeitende und Zweck begründet und gegen mindestens eine Alternative abgegrenzt. 1 = genannt, aber nur allgemein begründet oder ohne Alternative. 0 = keine Theorie, keine Begründung oder eine Theorie für eine andere Ebene (z. B. Organisation) ohne Begründung.</t>
  </si>
  <si>
    <t>ja</t>
  </si>
  <si>
    <t>Es werden Theorien ausgewählt, jedoch wird nicht dargestellt warum explizit diese und nicht andere verwednet werden.</t>
  </si>
  <si>
    <t>Im Prompt nicht verlangt</t>
  </si>
  <si>
    <t>Ist jedes Konstrukt definiert: was es ist, wer es hat und woraus es besteht?
2 = jedes Konstrukt hat eine vollständige Definition, und das Zielkonstrukt enthält keinen seiner Einflussfaktoren. 1 = jedes Konstrukt hat eine Definition, aber nicht alle sind vollständig. 0 = mindestens ein Konstrukt ohne Definition, oder ein Einflussfaktor steckt in der Definition des Zielkonstrukts.</t>
  </si>
  <si>
    <t>Konstrukte werden ohne Definition genannt</t>
  </si>
  <si>
    <t>Ist jede Hypothese mit der Theorie oder einer zitierten Studie begründet?
2 = alle Hypothesen begründet. 0 = mindestens eine unbegründet oder keine Hypothesen.</t>
  </si>
  <si>
    <t>Hypothesen werden nicht formuliert</t>
  </si>
  <si>
    <t>Wie viele der 14 Konstrukte des Referenzrahmens kommen vor oder fehlen mit Begründung?
Anteil in %. Kein Mindestwert: Die finale Version soll höher liegen als V0. Ein Konstrukt der Ausgabe zählt nur einmal.</t>
  </si>
  <si>
    <t>8 von 14</t>
  </si>
  <si>
    <t>Hat jedes Konstrukt mindestens 3 Items?
2 = alle Konstrukte. 0 = mindestens ein Konstrukt hat weniger.</t>
  </si>
  <si>
    <t>(BAR1) steht alleine</t>
  </si>
  <si>
    <t>Passt jedes Item zu seinem Konstrukt, zu Mitarbeitenden als Befragten und zum Zweck (Erhebung vor einer KI-Einführung)?
2 = alle Items passen. 0 = mindestens eins passt nicht (z. B. ein Angst-Item in der Skala Selbstwirksamkeit oder ein Item für Studierende statt Mitarbeitende).</t>
  </si>
  <si>
    <t>Fragt jedes Item nach genau einer Sache, ohne doppelte Verneinung und ohne zwei Konstrukte zu mischen?
2 = alle Items. 0 = mindestens ein Item fragt nach zwei Dingen (z. B. „leicht und nützlich“), enthält eine doppelte Verneinung oder mischt zwei Konstrukte.</t>
  </si>
  <si>
    <t>Mindestens ein Item fragt mehrere Dinge ab beziehungsweise mischt Inhalte. FEAR1 verbindet Gefühlszustände mit persönlicher beziehungsweise beruflicher Schädigung; OS2 verbindet mehrere Voraussetzungen und mehrere Ergebnisse.</t>
  </si>
  <si>
    <t>Sind die Items einfach und kurz, ohne Suggestion, ohne unbegründete hypothetische Fragen, ohne Wissen vorauszusetzen, das Befragte nicht haben, und ohne benachteiligende Formulierungen?
2 = alle Items. 1 = mindestens 80 % der Items. 0 = weniger. Begründete Abweichungen zählen nicht als Verstoß.</t>
  </si>
  <si>
    <t>unklar</t>
  </si>
  <si>
    <t>T1 und T3 verlangen Aussagen für ein kollektives „Wir“ über Unternehmensprozesse statt eindeutig individuelle Einschätzungen. HAB1 misst eine erwartete mögliche Gewohnheitsbildung und keine gegenwärtige Gewohnheit.</t>
  </si>
  <si>
    <t>Sind alle Items unterschiedlich genug?
2 = keine fast gleichen Paare (z. B. „KI ist nützlich“ und „KI bringt mir Nutzen“). 1 = ein bis zwei solche Paare. 0 = mehr.</t>
  </si>
  <si>
    <t>Mehr als zwei nahezu gleichbedeutende Itempaare. 
TC_Exec1: „[…] klar definierte Abläufe eingehalten werden müssen“ ↔ TC_Exec3: „[…] vordefinierten Abläufen folgen“.
HM1: „[…] die Nutzung des KI-Systems macht Spaß“ ↔ HM2: „[…] die Nutzung des KI-Systems ist sehr unterhaltsam“.
PERF1: „[…] sich meine Leistung bei meinen Aufgaben durch die Nutzung von KI verbessern würde“ ↔ PERF2: „[…] ich mit der Nutzung von KI meine Aufgaben besser erledigen könnte als ohne sie“.</t>
  </si>
  <si>
    <t>Ist das Messmodell benannt (reflektiv oder formativ; ein- oder mehrdimensional) und jedes Item genau einem Konstrukt zugeordnet?
2 = Messmodell benannt und jedes Item zugeordnet. 1 = nur zugeordnet. 0 = keine Zuordnung.</t>
  </si>
  <si>
    <t>Die dargestellten Items sind Konstruktgruppen zugeordnet. Es fehlt die Benennung als reflektives oder formatives Messmodell einschließlich Ein- oder Mehrdimensionalität.</t>
  </si>
  <si>
    <t>Passt die Antwortskala zur Frage, und ist jeder Skalenpunkt beschriftet?
2 = beides. 1 = eins von beidem. 0 = keins. Aussage → Zustimmung, „Wie oft …“ → Häufigkeit, „Wie viel …“ → Ausmaß.</t>
  </si>
  <si>
    <t>Nicht jede Skala passt zur Formulierung der zugehörigen Items. Außerdem sind nicht sämtliche Skalenpunkte beschriftet; teilweise bleibt sogar die Zahl der Skalenpunkte offen. Teilweise ist nur ein Vorschlag ("5-stufige oder 7-stufige-Likert-Skala") genannt</t>
  </si>
  <si>
    <t>Ist festgelegt, wie die Antworten zu Werten verrechnet werden (z. B. Mittelwert je Konstrukt, Umpolung), und ist das Skalenniveau genannt?
2 = beides. 1 = eins von beidem. 0 = keins.</t>
  </si>
  <si>
    <t>Eine Verrechnungsregel je Konstrukt fehlt; das Skalenniveau wird nicht genannt. Einzelne Umpolungshinweise ersetzen keine Regel zur Bildung von Konstruktwerten.</t>
  </si>
  <si>
    <t>Wird der Unternehmenskontext abgefragt oder als Platzhalter geführt (z. B. „[Tätigkeit]“)?
2 = abgefragt oder Platzhalter. 1 = teils Platzhalter, teils ausgedacht. 0 = ausgedacht oder übergangen.</t>
  </si>
  <si>
    <t>Der Unternehmenskontext wird nicht abgefragt oder durch einen ausdrücklichen Platzhalter offengehalten. Der Aufgabenkontext der Mitarbeiters wird erhoben.</t>
  </si>
  <si>
    <t>Ist das Zielverhalten genau beschrieben: Handlung (KI nutzen), Tätigkeit, Kontext, Zeitraum?
2 = alle vier Angaben (Platzhalter zählen). 1 = ein bis drei. 0 = keine.</t>
  </si>
  <si>
    <t>Handlung und beruflicher Kontext sind erkennbar. Eine bestimmte Zieltätigkeit wird nicht verbindlich festgelegt; „künftig“ und „regelmäßig“ bestimmen keinen abgegrenzten Zeitraum. Das getrennt erhobene Aufgabenprofil wird nicht verbindlich mit der Zielabsicht verknüpft.</t>
  </si>
  <si>
    <t>Wie viele Items beziehen sich auf das Zielverhalten statt auf Technik allgemein?
Anteil in %. Platzhalter zählen als Bezug. Kein Mindestwert: Die finale Version soll höher liegen als V0.</t>
  </si>
  <si>
    <t xml:space="preserve">Ein eindeutiger Prozentanteil ist nicht bestimmbar: Die Ausgabe legt nicht fest, wie viele TTF-Items aus den Beispielen und Varianten tatsächlich entstehen und welche zusätzlichen Fragen Bestandteil des endgültigen Fragebogens sind. </t>
  </si>
  <si>
    <t>Enthält die Einleitung für die Befragten (1) die Zusicherung der Anonymität, (2) einen Hinweis zum Ausfüllen und (3) eine Erklärung, was mit KI gemeint ist, mit Beispiel?
2 = alle drei. 1 = eins oder zwei. 0 = keins.</t>
  </si>
  <si>
    <t>Ein Hinweis zum Ausfüllen ist vorhanden, eine Zusicherung der Anonymität fehlt. Es wird vorausgesetzt, dass der Herausgeber KI definiert.</t>
  </si>
  <si>
    <t>Ist der Fragebogen für die Befragten vollständig (Items und Antwortskala) und frei von Quellen, Hypothesen und Konstruktnamen?
2 = vollständig und frei davon. 1 = vollständig, aber solches Material enthalten. 0 = unvollständig. Kürzel wie „KOM1“ oder Überschriften wie „Säule Können“ zählen als Konstruktnamen.</t>
  </si>
  <si>
    <t xml:space="preserve">Die Befragtenfassung ist unvollständig: Nicht alle Items und Antwortformate sind fertig festgelegt. Zusätzlich enthält sie Konstruktnamen, Itemkürzel, Theorie- und Quellenhinweise. </t>
  </si>
  <si>
    <t>Gibt es ein Auswertungsblatt mit Zuordnung Item → Konstrukt, Umpolung, Verrechnung und Hinweisen zur Interpretation?
2 = alle vier Teile. 1 = ein bis drei. 0 = fehlt.</t>
  </si>
  <si>
    <t>Zuordnung, Umpolungshinweise und allgemeine Interpretationsrichtungen sind vorhanden. Eine konkrete Verrechnung der Antworten fehlt, ohne Fachwissen kaum umsetzbar.</t>
  </si>
  <si>
    <t>Gibt es eine Arbeitsfassung mit Theorie, Definitionen, Hypothesen und Zuordnung Item → Konstrukt?
2 = alle vier Teile. 1 = ein bis drei. 0 = keiner. Nur prüfen, ob die Teile da sind; ihre Qualität prüfen A und F.</t>
  </si>
  <si>
    <t>Eigenständige Konstruktdefinitionen und Hypothesen fehlen.</t>
  </si>
  <si>
    <t>Ist der Fragebogen zumutbar und die Reihenfolge geregelt: Bearbeitungsdauer genannt, Itemreihenfolge randomisiert oder begründet?
2 = beides. 1 = eins von beidem. 0 = keins.</t>
  </si>
  <si>
    <t>Weder eine Bearbeitungsdauer noch Randomisierung oder eine Begründung der Itemreihenfolge wird genannt.</t>
  </si>
  <si>
    <t>Führt jedes Item über ein definiertes Konstrukt und eine Hypothese zur Theorie zurück?
2 = bei allen Items lückenlos. 0 = mindestens ein Item oder Konstrukt ohne Anschluss. Demografie- und Kontrollfragen sind ausgenommen.</t>
  </si>
  <si>
    <t>Definitionen und Hypothesen fehlen.</t>
  </si>
  <si>
    <t>Sind die Theoriewahl, die Auswahl der Konstrukte (auch was weggelassen wurde) und Abweichungen von Regeln begründet?
2 = alle drei. 1 = Theorie- und Konstruktauswahl begründet, Abweichungen nicht. 0 = Theorie- oder Konstruktauswahl unbegründet.</t>
  </si>
  <si>
    <t xml:space="preserve">Die konkrete Auswahl der gemessenen Konstrukte einschließlich der weggelassenen Konstrukte wird nicht begründet. </t>
  </si>
  <si>
    <t>Hat jedes Item eine Herkunftsangabe: woher (Datensatz oder Quelle) und wie (übernommen, angepasst oder neu)?
2 = alle Items. 0 = mindestens eins ohne Angabe.</t>
  </si>
  <si>
    <t xml:space="preserve">Für mindestens ein Item fehlt die eindeutige Angabe, aus welcher konkreten Quelle es stammt und ob es übernommen, angepasst oder neu formuliert wurde. Abschnittsweise Sammelangaben erlauben diese Zuordnung nicht für jedes Item.
Teil C pauschal: „adaptiert aus Fragebogen 1, 2 und 3“; Teil D: „adaptiert aus Fragebogen 2 &amp; 5“; T5 hat eine gesonderte Herkunftsnotiz. </t>
  </si>
  <si>
    <t>Halten alle Quellen außerhalb des Datensatzes der Gegenprüfung stand?
Je Quelle: belegt · widerlegt · erfunden · nicht prüfbar (Blatt „Quellenprüfung“). 2 = keine erfundene und keine widerlegte Quelle. 0 = mindestens eine. Keine externen Quellen = 2. „Nicht prüfbar“ wird gezählt, ist aber kein K.o.</t>
  </si>
  <si>
    <t>Es wurden keine Quellen außerhalb des Datensatzes verwendet.</t>
  </si>
  <si>
    <t>Sind geschützte Items (TRI 1.0/2.0, AAAW) nicht wörtlich übernommen und alle Übernahmen gekennzeichnet?
2 = ja. 0 = sonst.</t>
  </si>
  <si>
    <t>Es werden keine Items aus TRI 1.0/2.0 oder AAAW verwendet. Jeder Itemblock ist als „adaptiert aus Fragebogen …“ gekennzeichnet (Teil A bis E). Teil F enthält nur Kontroll- und Demografiefragen.</t>
  </si>
  <si>
    <t>Ergebnis je Lauf</t>
  </si>
  <si>
    <t>Pflichtpunkte gesamt</t>
  </si>
  <si>
    <t>davon Mindestwert erreicht</t>
  </si>
  <si>
    <t>Mindestanforderungen erfüllt?</t>
  </si>
  <si>
    <t>Angaben zu dieser Version</t>
  </si>
  <si>
    <t>Datum</t>
  </si>
  <si>
    <t>Modell (Erzeuger, genaue Bezeichnung)</t>
  </si>
  <si>
    <t>Gemini 4 Argon, Denkaufwand: mittel</t>
  </si>
  <si>
    <t>Prüfmodell</t>
  </si>
  <si>
    <t>Claude Opus 5.5, Denkaufwand: mittel</t>
  </si>
  <si>
    <t>Änderungen gegenüber der Vorversion (Fehler → Änderung → Beleg)</t>
  </si>
  <si>
    <t>Ausgangsversion</t>
  </si>
  <si>
    <t>Mitgegebene Dateien</t>
  </si>
  <si>
    <t>Datensatz: Bespiel DSR Peffers, Word Datensatz_v1, Paper Fragebogen 1-5</t>
  </si>
  <si>
    <t>Sonstige Beobachtungen</t>
  </si>
  <si>
    <t>BO1</t>
  </si>
  <si>
    <t>BO2</t>
  </si>
  <si>
    <t xml:space="preserve">Nutzung von Abkürzungen ohne Erklärung (VR), "Invers codiert" nicht erklärt, </t>
  </si>
  <si>
    <t>BO3</t>
  </si>
  <si>
    <t>BO4</t>
  </si>
  <si>
    <t>Literaturverzeichnis: Es gibt keins. Theorien werden nur mit Namen genannt, fast ohne Jahresangaben.</t>
  </si>
  <si>
    <t>Bewertung V1</t>
  </si>
  <si>
    <t>Teil 1, 1.1.1–1.1.4: RAA (Fishbein &amp; Ajzen) ergänzt um SET und UTAUT2. Bezug auf Mitarbeitende („originär auf der Individualebene verankert“) und Zweck („Pre-Adoption / Readiness-Eignung“) begründet; abgegrenzt gegen TTF, STS und Organizational Trust Model.</t>
  </si>
  <si>
    <t>Teil 1, Tabelle 1.3: alle 7 Konstrukte mit (a) Was, (b) Wer, (c) Woraus. Zielkonstrukt: „Konkretes Vorhaben, feste Planung und persönliche Entschlossenheit, frei von Gründen oder Einstellungen“, enthält keinen Einflussfaktor. Hinweis: 1.1.3 definiert „KI-Readiness“ zusätzlich als „mentale, kompetenzbezogene und motivationale Bereitschaft“ – Widerspruch zur Tabellendefinition; gewertet wurde die formale Definition in 1.3.</t>
  </si>
  <si>
    <t>Im Chat (Abschn. 1.3.3) werden H1 bis H6 mit RAA, UTAUT2, SET, EPPM oder Wichmann et al. begründet. In der Word-Fassung (Teil 1) fehlt die Begründung, dort stehen nur die Hypothesen. H4 stützt sich außerdem auf TTF, obwohl TTF in 1.1.4 ausgeschlossen wurde.</t>
  </si>
  <si>
    <t>6 von 14 abgedeckt (Z, 1.1, 1.3, 2.1, 2.5, 3.1), 0 begründet fehlend, 8 fehlen. Einzelheiten im Blatt „Prüfliste A4“.</t>
  </si>
  <si>
    <t>Teil 1, 1.4: BI 3, ATT 4, PN 3, PBC 4, PU 4, AB 4, FEAR 3 Items.</t>
  </si>
  <si>
    <t>Items setzen laufende Nutzung voraus und passen nicht zu einer Erhebung vor der KI-Einführung: Frage 3/ATT3 „Die eigene Arbeit mit generativen KI-Tools empfinde ich …“, Frage 4/ATT4 „Es gefällt mir, … heranzuziehen“, Frage 8/PU4 „Der eigene Einsatz … erleichtert mir …“, Frage 13/PBC2 „… wie ich generative KI-Tools in meinen Arbeitsalltag einbinde“, Frage 18/AB3 „… die von mir mit generativen KI-Tools erzeugten Arbeitsergebnisse …“. Der Satz „Stellen Sie sich … vor“ in der Einleitung mildert das nur ab.</t>
  </si>
  <si>
    <t>Frage 16/AB1 „… wie generative KI-Tools bei der Texterstellung und Aufgabenlösung funktionieren“ fragt nach zwei Anwendungsbereichen, grenzwertig, wird als i.O. eingestuft</t>
  </si>
  <si>
    <t>Die Fragen 3, 4, 8, 13 und 18 setzen Nutzungserfahrung voraus. Das wird unter B2 bewertet, deshalb hier kein Verstoß. Weitere Verstöße gibt es nicht.</t>
  </si>
  <si>
    <t>4 fast gleiche Paare: Frage 9/PN1 ↔ 11/PN3 (Kollegen empfehlen / raten); 14/PBC3 ↔ 15/PBC4 („kann … problemlos nutzen“ / „in der Lage … anzuwenden“); 16/AB1 ↔ 19/AB4 (Funktionsweise verstehen / schwer zu durchschauen, umgepolt); 20/FEAR1 ↔ 21/FEAR2 (Unbehagen / innerlich angespannt).</t>
  </si>
  <si>
    <t>Anweisung nicht befolgt</t>
  </si>
  <si>
    <t>Teil 3, 3.1: „Reflektives Messmodell“, „Eindimensionale Subskalen in einem mehrdimensionalen Strukturmodell“; jedes Item genau einem Konstrukt zugeordnet (Teil 1, 1.4; Teil 3, 3.2).</t>
  </si>
  <si>
    <t>Teil 2: alle Items sind Aussagen; 7-stufige Zustimmungsskala, jeder Punkt beschriftet („Stimme überhaupt nicht zu (1)“ … „Stimme voll und ganz zu (7)“).</t>
  </si>
  <si>
    <t>Teil 3, 3.2: Mittelwert je Konstrukt, Umpolung „8 − x_19“; 3.3: Item ordinal, Skalenwert quasi-intervall.</t>
  </si>
  <si>
    <t>Teil 1, Kasten „Festlegung der Kontext-Variablen“: Die Platzhalter des Prompts wurden durch ausgedachte Angaben ersetzt („branchenübergreifende Büro- und Wissensarbeit“, „ohne Führungsverantwortung“, „kommenden 6 Monaten“). Weder abgefragt noch als Platzhalter geführt.</t>
  </si>
  <si>
    <t>Teil 1, 1.2 TACT: Target „Bearbeitung eigener beruflicher Arbeitsaufgaben“, Action „aktive, eigenständige Nutzung“, Context „regulärer Arbeitsalltag“, Time „kommende 6 Monate“.</t>
  </si>
  <si>
    <t>23 von 25 Items. Ohne Bezug zum Zielverhalten: Frage 16/AB1 (Funktionsweise allgemein) und Frage 17/AB2 (Eingaben formulieren, ohne Tätigkeit oder Kontext). AB2 ist ein Grenzfall; mitgezählt wären es 96 %.</t>
  </si>
  <si>
    <t>Teil 2, Einleitung: (1) „vollständig anonym“, (2) „Hinweise zum Ausfüllen“, (3) KI-Definition mit Beispiel („ChatGPT, Microsoft Copilot … E-Mails und Texte formulieren“).</t>
  </si>
  <si>
    <t>Teil 2 (Word): 25 Items mit beschrifteter Skala, keine Codes, Quellen oder Konstruktüberschriften. Hinweis: Die Chatfassung von Teil 2 enthält „[cite: …]“-Marker und wäre dort mit 1 zu bewerten.</t>
  </si>
  <si>
    <t>Teil 3, 3.2: Tabelle Fragen → Konstrukt, Umpolung Frage 19, Formeln S_c; 3.3: Schwellenwerte und Interventionen.</t>
  </si>
  <si>
    <t>Teil 1: 1.1 Theorie, 1.3 Definitionen und Hypothesen, 1.4 Zuordnung Item → Konstrukt.</t>
  </si>
  <si>
    <t>Teil 2: „Bearbeitungsdauer: ca. 5–7 Minuten“ genannt. Die Itemreihenfolge (nach Konstrukten geblockt, BI ans Ende verschoben) ist weder randomisiert noch begründet.</t>
  </si>
  <si>
    <t>Teil 1, 1.4: Jedes Item hat ein Konstrukt und eine Hypothese. Die Hypothesen sind im Chat begründet, in der Word-Fassung fehlt die Begründung.</t>
  </si>
  <si>
    <t>Theoriewahl (1.1.3–1.1.4) und Einschluss der 6 Faktoren begründet. Nicht begründet: was weggelassen wurde (z. B. UTAUT2-Konstrukte wie Facilitating Conditions oder Habit) und Abweichungen (Platzhalter ersetzt, Reihenfolge geändert). Widerspruch: Im Prüfbericht wurde angemerkt, dass sich  H4 inhaltlich auf das Task-Technology Fit (TTF) Modell stützte, obwohl TTF im vorherigen Abschnitt 1.1.4 explizit als unpassende Theorie ausgeschlossen worden war Außerdem werden TTF und Goodhue &amp; Thompson bei H4 und den PU-Items genutzt, obwohl TTF vorher ausgeschlossen wurde.</t>
  </si>
  <si>
    <t>Obwohl die Items in Tabelle 1.4 grobe Quellenhinweise hatten (z. B. „angepasst aus...“), fehlte die lückenlose Belegbarkeit konkreter Textaussagen im Theorieteil
. Zudem waren Herkunftsangaben stellenweise uneindeutig</t>
  </si>
  <si>
    <t>Teil 1, 1.4: kein Bezug auf TRI 1.0/2.0 oder AAAW; alle Items als „angepasst“ oder „neu“ gekennzeichnet. Ein Abgleich mit dem Originalwortlaut ist mangels Vorlage nicht möglich.</t>
  </si>
  <si>
    <t xml:space="preserve">Die Änderungen leiten sich aus den Fehlern in V0 ab (siehe Iterationsprotokoll). </t>
  </si>
  <si>
    <t>Beobachtungen (keine Punkte)</t>
  </si>
  <si>
    <t>Bewertung V2</t>
  </si>
  <si>
    <t>Teil 1, 1.1.1–1.1.4: RAA (Fishbein &amp; Ajzen 2010) + drei Ergänzungskonstrukte. Bezug auf Mitarbeitende (1.1.3 „Psychologische Realität am Arbeitsplatz“, Individuumsebene) und Zweck (1.1.2/1.1.3 Pre-Adoption, „Evaluative Anticipation“) begründet; abgegrenzt gegen STS und TTF (1.1.4).</t>
  </si>
  <si>
    <t>Teil 1, 1.3.2 (Chat): alle 7 Konstrukte mit (a) Was, (b) Wer („einzelne mitarbeitende Person aus [Zielgruppe]“), (c) Woraus. Zielkonstrukt: „motivationale Handlungsabsicht … Entschluss, feste Absicht, konkrete Planung“, kein Einflussfaktor. Hinweis: Auch in der korrigierten PDF-Arbeitsfassung (27.10., inhaltlich unverändert) fehlen auf S. 4 die Definitionen von Konstrukt 6 (ABI) und 7 (ANX) → mit PDF als Maßstab 0. Kleiner Widerspruch: ATT (c) im Chat „Sinnhaftigkeit, Vorteilhaftigkeit, Zufriedenstellung“, im PDF „Vorteilhaftigkeit, Wichtigkeit, Gesamtbewertung“.</t>
  </si>
  <si>
    <t>Chat 1.3.2: H1–H3 folgen aus dem RAA-Kernpostulat (1.1.1), H4–H6 aus der Modernitäts-Synthese 1.1.1 mit zitierten Studien (Wichmann et al. 2024; Ali et al. 2023; Paetow et al. 2026; Cutillo et al. 2020; Zhou et al. 2022). In der Hypothesenspalte selbst steht im Chat keine Begründung; PDF (auch korrigierte Fassung 27.10.) nennt je eine Quelle für H1–H4; H5/H6 fehlen in der Konstrukttabelle → mit PDF als Maßstab 0 (vgl. Korrektur V1).</t>
  </si>
  <si>
    <t>5 von 14 abgedeckt (Z, 1.1, 1.3, 2.5, 3.1), 0 begründet fehlend, 9 fehlen. ABI ist als „Zutrauen“ definiert → 2.5, nicht 2.1 (Referenzrahmen 2.1 „Zählt nicht: Zutrauen → 2.5“); PBC (Name) ebenfalls 2.5, zählt nur einmal. Mit V1-Zuordnung (ABI → 2.1) wären es 6/14 = 43 %. Einzelheiten im Blatt „Prüfliste A4“.</t>
  </si>
  <si>
    <t>Chat 1.4 / Teil 3, 3.2: INT 3, ATT 3, PN 3, PBC 3, EFF 3, ABI 4, ANX 3 Items.</t>
  </si>
  <si>
    <t>7 von 22 Items (32 %) verstoßen, 68 % regelkonform: suggestiv/extrem Nr. 1/ATT_1 „sehr vorteilhaft“, Nr. 16/ABI_4 „lediglich eine kurze Einarbeitung“; Schachtelsätze mit zwei Nebensätzen Nr. 5/PN_2, 6/PN_3, 7/PBC_1, 14/ABI_2, 15/ABI_3 (16 doppelt). Zudem alle Items 17–27 Wörter nach Einsetzen der Beispielwerte (Prüfblatt nennt keine Wortgrenze, daher nicht gezählt). Hypothetische „würden“-Items (PN) über Pre-Adoption begründet → kein Verstoß.</t>
  </si>
  <si>
    <t>3 fast gleiche Paare: Nr. 4/PN_1 ↔ 5/PN_2 (empfehlen / raten); Nr. 7/PBC_1 ↔ 8/PBC_2 („selbst steuern“ / „in meiner eigenen Hand“); Nr. 17/ANX_1 ↔ 18/ANX_2 (Unbehagen / innerlich angespannt). Grenzfall zusätzlich 5/PN_2 ↔ 6/PN_3.</t>
  </si>
  <si>
    <t>Teil 3, 3.1: „mehrdimensionales, vollständig reflektives Messmodell erster Ordnung“; jedes Item genau einem Konstrukt zugeordnet (1.4; 3.2 Zuordnungsliste Nr. 1–22).</t>
  </si>
  <si>
    <t>Teil 2: alle Items Aussagen; 7-stufige Zustimmungsskala, jeder Punkt beschriftet (1 „Stimme überhaupt nicht zu“ … 7 „Stimme voll und ganz zu“).</t>
  </si>
  <si>
    <t>Teil 3, 3.2: Mittelwert je Konstrukt S_C,p, Umpolung ANX 8 − x (Nr. 17–19), GRI; 3.3.1: Item ordinal, Skalenwert quasi-metrisch.</t>
  </si>
  <si>
    <t>Durchgehend unveränderte Platzhalter ([Platzhalter: z. B. …] für Kontext, Zielgruppe, KI-Anwendung, Zeitraum). Beispiele in 1.2 Target („Texterstellung, Analyse“) und KI-Erklärung (ChatGPT/Copilot) sind als Beispiele gekennzeichnet, kein erfundener Unternehmenskontext.</t>
  </si>
  <si>
    <t>Teil 1, 1.2 TACT: Target „berufliche Arbeitsaufgaben im Rahmen von [KI/Tätigkeit]“, Action „aktive, eigenständige Nutzung“, Context „[Kontext] … Rolle [Zielgruppe]“, Time „[Zeitraum]“. Hinweis: Tätigkeit und KI-Anwendung teilen sich einen Platzhalter.</t>
  </si>
  <si>
    <t>20 von 22 Items. Ohne Bezug zum Zielverhalten (Technik allgemein verstehen): Nr. 13/ABI_1 (Funktionsweise durchdringen), Nr. 14/ABI_2 (Weg der KI zu Ergebnissen nachvollziehen). Grenzfall Nr. 18/ANX_2 (Gedanke an die Einführung, nicht an eigene Nutzung); mitgezählt 86 %.</t>
  </si>
  <si>
    <t>Teil 2, Einleitung: (1) „vollständig anonym“, (2) „Hinweise zum Ausfüllen &amp; Bearbeitungsdauer“, (3) KI-Erklärung mit Beispiel (ChatGPT/Copilot, „Fasse mir dieses Protokoll … zusammen“).</t>
  </si>
  <si>
    <t>Teil 3: Zuordnung Nr. → Konstrukt (3.2), Umpolung Nr. 17–19 (Schritt 2), Verrechnung (Formeln S_C,p, GRI), Interpretation (3.3.3 Zonen + Maßnahmen). Korrigiertes PDF-Handbuch (27.10.) ist vollständig (Nr. 1–22 mit Polung); nur der letzte Satz der Schwellenwerttabelle ist abgeschnitten.</t>
  </si>
  <si>
    <t>Teil 1: Theorie 1.1, Definitionen und Hypothesen 1.3.2, Zuordnung Item → Konstrukt 1.4.</t>
  </si>
  <si>
    <t>Teil 2: „ca. 5 bis 7 Minuten“ genannt. Reihenfolge nach Konstrukten geblockt (ATT … ANX, INT ans Ende verschoben, abweichend von Teil 1), weder randomisiert noch begründet.</t>
  </si>
  <si>
    <t>1.4: jedes Item hat Konstrukt und Hypothese (H1–H6, INT als AV); Konstrukte über 1.1.1 an RAA bzw. Synthese angebunden. Hinweis: EFF-Items stützen sich auf das ausgeschlossene TTF (siehe F2).</t>
  </si>
  <si>
    <t>Theoriewahl (1.1.2–1.1.4) und Konstruktauswahl inkl. 4 Ausschlüssen (1.1.5) begründet. Nicht begründet/Widerspruch: 1.1.5 legt fest, dass ausgeschlossene Theorien „im weiteren Verlauf keine Anwendung“ finden, trotzdem EFF_1–EFF_3 „angepasst nach Goodhue &amp; Thompson (1995)“ (TTF); ANX_3 und EFF_2 nach PMT-Quellen (Rogers 1975; Taheri-Kharameh 2020) trotz Ausschluss 4; geänderte Itemreihenfolge in Teil 2 unbegründet.</t>
  </si>
  <si>
    <t>Widerspruch im Output</t>
  </si>
  <si>
    <t>1.4: alle 22 Items mit Quelle und „Angepasst“; ANX_3 „Neu entwickelt / Angepasst“ (uneindeutig, aber vorhanden). Hinweis für F4: mehrere Quellen enthalten keine Items (z. B. Abdul et al. 2018, Tan et al. 2018 für ABI_1) oder stammen aus fachfremden Kontexten (Taheri-Kharameh 2020 Sturzprävention; MacDorman &amp; Ishiguro 2006 Androiden). In der PDF-Arbeitsfassung (auch korrigiert) fehlen Item-Zeilen bzw. Herkunftsangaben (ATT_3, PN_1, EFF_3, ANX_3) und das Literaturverzeichnis endet bei McGrath (1984) → mit PDF als Maßstab 0.</t>
  </si>
  <si>
    <t>Keine Bezüge auf TRI 1.0/2.0 oder AAAW; alle Items als „angepasst“ bzw. „neu“ gekennzeichnet. Wortlautabgleich mit Originalen mangels Vorlage nicht möglich.</t>
  </si>
  <si>
    <t>Die Änderungen leiten sich aus den Fehlern in V1 ab (siehe Iterationsprotokoll)</t>
  </si>
  <si>
    <t>Bewertung V3 (letzte Version)</t>
  </si>
  <si>
    <t>Teil 1, 1.1–1.3: Reasoned Action Approach (RAA) mit Kriterien „Analyseebene“ und „Prä-Adoptions-Eignung“ begründet; abgegrenzt gegen TTF, STS, Vertrauensmodell und HBM/PMT/EPPM.</t>
  </si>
  <si>
    <t>Teil 1, 3.1: alle 10 Konstrukte (INT, ATT, PN, PBC, PU, PEOU, EVAL, ETH, ANX, JINS) mit (a) Was, (b) Wer, (c) Woraus. Zielkonstrukt INT = „Bereitschaft sowie der gefasste Entschluss … zu nutzen“, ohne Einflussfaktor. Hinweis: im PDF fehlt ATT 2c (Seitenumbruch), in der Chat-Antwort vorhanden.</t>
  </si>
  <si>
    <t>H1–H9 begründet mit RAA, UTAUT/TAM, Park 2024, Wang 2022, Wichmann 2024/2025, Suseno 2022.</t>
  </si>
  <si>
    <t>8 abgedeckt (Z, 1.1, 1.3, 1.5, 2.3, 2.4, 2.5, 3.1), 3 begründet fehlend (2.1, 2.2, 3.3), 3 fehlen (1.2, 1.4, 3.2) → 11/14 = 79 %. 3.2 Grenzfall: Ausschluss „Perceived Costs / Barriers“ begründet mit Kosten, nicht mit Unterstützung. Einzelheiten im Blatt „Prüfliste A4“.</t>
  </si>
  <si>
    <t>3–4 Items je Konstrukt (PU 4, alle übrigen 3); 31 Items gesamt.</t>
  </si>
  <si>
    <t>Keine Items mit zwei Inhalten, doppelter Verneinung oder Konstruktmischung gefunden.</t>
  </si>
  <si>
    <t>5 von 31 Items setzen laufende Nutzung voraus (84 % regelkonform; 81 % mit Grenzfall PN_3): ETH_1 „Ich achte auf ethische Grundsätze, wenn ich … einsetze“, ETH_2 „Ich achte beim Einsatz … sorgfältig auf den Datenschutz“, ETH_3 „… bewusst, wenn ich … verwende“, PBC_1 „Ich habe die eigene Verwendung … unter meiner persönlichen Kontrolle“, JINS_2 „… wenn ich … einsetze“. Grenzfall PN_3 „Fachkollegen“ (generisches Maskulinum). Zudem Verstärker „mühelos“ (PEOU_3) und „sorgfältig“ (ETH_2). Die fünf Items mit vorausgesetzter Nutzung werden unter B2 bewertet. Für B4 bleiben die Verstärker bei PEOU_3 und ETH_2, also 29 von 31 Items regelkonform (94 %).</t>
  </si>
  <si>
    <t>3 fast gleiche Paare: INT_1 ↔ INT_2 (beabsichtige / plane); PN_1 ↔ PN_2 (wichtige Personen raten / befürworten); PBC_1 ↔ PBC_2 (unter Kontrolle / in eigener Hand). Grenzfälle: ANX_1 ↔ ANX_3, PEOU_3 ↔ PBC_3.</t>
  </si>
  <si>
    <t>Teil 3, 1.1–1.2: reflektiv, 10 korrelierte eindimensionale Faktoren; Zuordnung jedes Items zu genau einem Konstrukt in Tab. 2.1.</t>
  </si>
  <si>
    <t>Teil 2: alle Items Aussagen; 7-stufige Zustimmungsskala, jeder Punkt beschriftet.</t>
  </si>
  <si>
    <t>Teil 3, 2.2: Mittelwert je Konstrukt; keine Umpolung nötig (Dashboard-Darstellung ANX/JINS als 8 − x); Abschn. 4: Skalenniveau genannt.</t>
  </si>
  <si>
    <t>Platzhalter-Legende in allen Teilen; keine erfundenen Unternehmensangaben.</t>
  </si>
  <si>
    <t>Teil 1, Abschn. 2 TACT: Target, Action, Context, Time mit Platzhaltern.</t>
  </si>
  <si>
    <t>31 von 31 Items mit [KI-Anwendung] und [Tätigkeit].</t>
  </si>
  <si>
    <t>Teil 2, Einleitung: (1) „vollständig anonym“, (2) „Hinweise zum Ausfüllen“, (3) KI-Erklärung mit Beispiel („Entwürfe erstellen, Informationen zusammenfassen“).</t>
  </si>
  <si>
    <t>Teil 2: 35 Fragen, jede mit Skala; keine Codes, Quellen, Hypothesen oder Konstruktnamen. Abschnittsüberschriften (z. B. „Mögliche Sorgen und Bedenken“) sind thematisch, keine Konstruktnamen.</t>
  </si>
  <si>
    <t>Teil 3: Zuordnung Tab. 2.1; Umpolung/Verrechnung 2.2 Nr. 2–4; Interpretation Abschn. 6.</t>
  </si>
  <si>
    <t>Teil 2: „etwa 8 bis 10 Minuten“; Teil 1, Meth. Entscheidung 3: Blockreihenfolge begründet.</t>
  </si>
  <si>
    <t>Item-Tabelle: jedes Item → Aspekt → Konstrukt → H1–H9 → RAA bzw. begründete Erweiterung; INT als Zielkonstrukt.</t>
  </si>
  <si>
    <t>Theorie- und Konstruktauswahl inkl. Ausschlusstabelle begründet. Abweichungen nicht begründet: Meth. Entscheidung 4 „Es liegen keine Abweichungen … vor“, aber PU_2 stammt aus Wang US_5 (Usage-Subskala, laut Ausschlusstabelle ausgeschlossen; als Ausnahme nur PEOU_2 aus US_3 genannt). Unklar: ATT_1–3 und ANX_3 stammen aus Q1 Cataract (Konstrukte 2/3), „Attitude (disease)“ und „Fear (disease)“ stehen in der Ausschlusstabelle; Identität ohne Datensatz_v1 nicht prüfbar.</t>
  </si>
  <si>
    <t>Herkunftsspalte bei allen 31 Items, jeweils „angepasst“. Hinweis: viele Angaben ohne Item-ID (nur „Q2, Konstrukt 4 Item (1)“). Hinweis für F4: Davis 1989, Venkatesh et al. 2012, Bandura 1986, Edwards 2011, Goodman, Hoelter, Cohen, Krosnick &amp; Presser, Mayer et al. 1995 werden zitiert, fehlen aber im Literaturverzeichnis.</t>
  </si>
  <si>
    <t>Keine TRI/AAAW-Items; Park-Items (PU_4, ANX_1–3, JINS_1–3) übersetzt, kontextualisiert und als „angepasst“ gekennzeichnet.</t>
  </si>
  <si>
    <t>Methodenstandards (Hinkin 1995 und Lambert &amp; Newman 2023), Paper Fragebogen 1 bis 5, Datensatz_v1, Park 2023, Wang, Rau &amp; Yuan 2022, Lintner 2024 (so im Prompt genannt)</t>
  </si>
  <si>
    <t xml:space="preserve">Steht jede im Text zitierte Quelle im Literaturverzeichnis? </t>
  </si>
  <si>
    <t>Literaturverzeichnis mit 16 Quellen (11 bereitgestellt, 5 extern). Im Text zitiert, aber nicht im Literaturverzeichnis: TEIL 1: Bandura 1986; Goodhue &amp; Thompson 1995; Mayer, Davis &amp; Schoorman 1995; Trist &amp; Bamforth 1951; Jackson et al. 1993; Krosnick &amp; Presser 2010. TEIL 3: Anderson &amp; Gerbing 1988; Bennett &amp; Robinson 2000; Hu &amp; Bentler 1999; Kline 2011; Cohen 1988; Edwards 2011; Fornell &amp; Larcker 1981; Hoelter 1983. Grenzfall: Nunnally 1978 („nach Nunnally … Hinkin 1995“). Nicht gezählt (Sekundärzitat): Brougham &amp; Haar, Tourangeau et al., Kortmann, Hair et al. 2021, MacKenzie et al. Zusammen 14 fehlende Quellen.</t>
  </si>
  <si>
    <t>Kontext A, Lauf 1</t>
  </si>
  <si>
    <t>Kontext A, Lauf 2</t>
  </si>
  <si>
    <t>TEIL 1, 1.1–1.3: RAA, ergänzt um Selbstwirksamkeit (Bandura), Personal Utility und Nutzungsangst (Park) sowie Bewertungs- und Ethikkompetenz (Wang); fünf Vergleichskriterien, Bezug auf Pflegefachkräfte vor der Einführung; abgegrenzt gegen TTF, Vertrauensmodell, STS, HBM/PMT und UTAUT2.</t>
  </si>
  <si>
    <t>TEIL 1, 1.1–1.3: RAA, ergänzt um Nutzungsangst und Arbeitsplatzunsicherheit (Park) sowie Bewertungs- und Ethikkompetenz (Wang); fünf Kriterien inkl. Pflegekontext (Schichtbetrieb, Dokumentationspflicht); abgegrenzt gegen TTF, STS, Vertrauensmodell und HBM/PMT.</t>
  </si>
  <si>
    <t>TEIL 1, 3.1: alle 8 Konstrukte mit (a), (b), (c) und Abgrenzung zum ähnlichsten Konstrukt. Zielkonstrukt INT ohne Einflussfaktor. Hinweis: Im Text steht zweimal „sieben Konstrukte“, die Tabelle hat acht (K1–K8); die Nummern in 1.1 (z. B. Selbstwirksamkeit K3) passen nicht zu 3.1 (K4).</t>
  </si>
  <si>
    <t>TEIL 1, 3.1: 8 Konstrukte mit (a), (b), (c) und Abgrenzung; Zielkonstrukt INT ohne Einflussfaktor.</t>
  </si>
  <si>
    <t>H1–H7 jeweils mit RAA, Bandura, Expectancy-Value-Theorie, Park et al. 2024, Wang et al. 2022 oder Wichmann et al. 2024/2025 begründet.</t>
  </si>
  <si>
    <t>H1–H7 mit RAA, Bandura, Park et al. 2024, Wang et al. 2022, Wichmann et al. 2024/2025 begründet.</t>
  </si>
  <si>
    <t>7 abgedeckt (Z, 1.1, 1.3, 2.3, 2.4, 2.5, 3.1), 3 begründet fehlend (1.5, 2.1, 3.3), 4 fehlen (1.2, 1.4, 2.2, 3.2): 10 von 14. Einzelheiten im Blatt „Prüfliste A4“.</t>
  </si>
  <si>
    <t>8 abgedeckt (Z, 1.1, 1.3, 1.5, 2.3, 2.4, 2.5, 3.1), 3 begründet fehlend (2.1, 2.2, 3.3), 3 fehlen (1.2, 1.4, 3.2): 11 von 14. Einzelheiten im Blatt „Prüfliste A4“.</t>
  </si>
  <si>
    <t>TEIL 1, 4.1: 8 Konstrukte mit 3 bis 4 Items, 26 Konstrukt-Items.</t>
  </si>
  <si>
    <t>TEIL 1, 4.1: 8 Konstrukte mit 3 bis 4 Items, 27 Konstrukt-Items.</t>
  </si>
  <si>
    <t>Arbeitsfassung: keine Items mit zwei Inhalten, doppelter Verneinung oder Konstruktmischung. PBC_2 (Selbstwirksamkeit) passt, weil Aspekt (c2) von PBC.</t>
  </si>
  <si>
    <t>Alle Items regelkonform. Konjunktiv („würde“, „hätte“, „wäre“) über die Erhebung vor der Einführung begründet (1.2, Kriterium 2). Grenzfälle: PN_1 „Meine Kolleginnen auf der Station“ (nur weibliche Form, ohne Begründung) und „geschickt“ in SE_2.</t>
  </si>
  <si>
    <t>Arbeitsfassung regelkonform (Platzhalter zählen als ein Wort). Hinweis: In TEIL 2 sind die Platzhalter eingesetzt, dadurch grammatisch falsch („beim Pflegeberichte und Übergaben dokumentieren“, „die KI-gestützten Pflegedokumentation“) und über 20 Wörter. TEIL 3 nimmt das selbst zurück (Korrekturhinweis).</t>
  </si>
  <si>
    <t>Zwei fast gleiche Paare: INT_1 ↔ INT_2 (plane / beabsichtige), SE_2 ↔ SE_3 (geschickt anwenden / eigenständig bedienen). Grenzfall: PN_2 ↔ PN_3 (Vorbilder / Bezugspersonen würden mir raten), wie in Kontext B nicht mitgezählt.</t>
  </si>
  <si>
    <t>Ein fast gleiches Paar: INT_1 ↔ INT_2 (plane / beabsichtige). Grenzfälle: NRM_2 ↔ NRM_3, PBC_1 ↔ PBC_3, wie in den anderen Läufen nicht mitgezählt.</t>
  </si>
  <si>
    <t>TEIL 3, 1–2: reflektiv, korreliertes 8-Faktoren-Modell, jedes Konstrukt eindimensional; Zuordnung Nr. → Item → Konstrukt.</t>
  </si>
  <si>
    <t>TEIL 3, 1–2: reflektiv, korreliertes 8-Faktoren-Modell; Zuordnung Item → Konstrukt.</t>
  </si>
  <si>
    <t>TEIL 2: alle Items Aussagen; 5-stufige Zustimmungsskala, jeder Punkt beschriftet.</t>
  </si>
  <si>
    <t>TEIL 2: Konstrukt-Items als Aussagen mit 7-stufiger, voll beschrifteter Zustimmungsskala. Die Erfahrungsfrage hat eine 5-stufige „Trifft zu“-Skala (Kontrollfrage, zählt nicht).</t>
  </si>
  <si>
    <t>TEIL 3, 3 und 5: Mittelwert je Konstrukt, keine Umpolung nötig (K6 bleibt unumgepolt, begründet); Skalenniveau genannt.</t>
  </si>
  <si>
    <t>TEIL 3: Mittelwert je Konstrukt, keine Umpolung nötig; Skalenniveau genannt.</t>
  </si>
  <si>
    <t>Platzhalter mit Legende in allen Teilen, Werte aus dem Prompt übernommen; keine erfundenen Unternehmensangaben.</t>
  </si>
  <si>
    <t>Arbeitsfassung mit Platzhaltern und Legende. In TEIL 2 sind die Werte aus dem Prompt eingesetzt, nichts erfunden.</t>
  </si>
  <si>
    <t>TEIL 1, 2: Target [Tätigkeit], Action Nutzung von [KI-Anwendung], Context [Kontext] und Rolle [Zielgruppe], Time [Zeitraum].</t>
  </si>
  <si>
    <t>TEIL 1, 2: Target, Action, Context mit Rolle, Time.</t>
  </si>
  <si>
    <t>26 von 26 Konstrukt-Items beziehen sich auf [KI-Anwendung] und [Tätigkeit].</t>
  </si>
  <si>
    <t>27 von 27 Konstrukt-Items beziehen sich auf [KI-Anwendung] und [Tätigkeit].</t>
  </si>
  <si>
    <t>TEIL 2, Einleitung: (1) „vollkommen anonym“, (2) Hinweise zum Ausfüllen inkl. „keine richtigen oder falschen Antworten“, (3) Erklärung von KI mit Beispiel aus der Pflegedokumentation.</t>
  </si>
  <si>
    <t>TEIL 2, Einleitung: Anonymität, Hinweise (keine richtigen oder falschen Antworten), Erklärung von KI mit Beispiel (Diktat des Patientenzustands).</t>
  </si>
  <si>
    <t>TEIL 2 vollständig (27 Aussagen mit Skala inkl. Aufmerksamkeitsfrage, 2 Kurzfragen), ohne Codes und Konstruktnamen. Aber: Vor der Einleitung steht ein „Methodischer Hinweis zur Itemreihenfolge“ mit Quellen (Kortmann, 2015; Do Khac et al., 2025). Gewertet wie Kontext B.</t>
  </si>
  <si>
    <t>TEIL 2 vollständig (28 Aussagen mit Skala, 3 Kurzfragen). Aber: Blocküberschriften mit Konstruktnamen („Block 4: KI-Nutzungsangst“, „Block 8: Nutzungsabsicht (Zielkonstrukt)“). TEIL 3 korrigiert das nur als Hinweis, TEIL 2 wird nicht neu ausgegeben.</t>
  </si>
  <si>
    <t>TEIL 3: Zuordnung Nr. → Item → Konstrukt, Polung, Verrechnung als Mittelwert, Interpretationshinweise (7.1, 7.2).</t>
  </si>
  <si>
    <t>TEIL 3: Zuordnung, Polung, Verrechnung als Mittelwert, Interpretationshinweise mit Schwellenwerten.</t>
  </si>
  <si>
    <t>TEIL 1: Theorie, Definitionen, Hypothesen und Item-Tabelle mit Zuordnung.</t>
  </si>
  <si>
    <t>TEIL 2: „etwa 5 bis 7 Minuten“; Reihenfolge durchmischt, online randomisiert, begründet.</t>
  </si>
  <si>
    <t>TEIL 2: „ca. 8 bis 10 Minuten“; Reihenfolge nach Blöcken, Prädiktoren vor dem Zielkonstrukt, in Abschnitt 5 begründet.</t>
  </si>
  <si>
    <t>Item-Tabelle: jedes Item → Aspekt → Konstrukt → H1–H7 → RAA bzw. begründete Erweiterung; INT als Zielkonstrukt.</t>
  </si>
  <si>
    <t>Item-Tabelle: jedes Item → Aspekt → Konstrukt → H1–H7 → RAA bzw. Erweiterung.</t>
  </si>
  <si>
    <t>Theorie- und Konstruktauswahl inkl. Ausschlusstabelle begründet. Abschnitt 5 Nr. 5: „Es liegen keine Regelabweichungen … vor“, obwohl Items Nutzung voraussetzen (B2) und TEIL 3 selbst Fehler in TEIL 2 korrigiert.</t>
  </si>
  <si>
    <t>Alle 26 Items mit Quelle (Datensatz Q1–Q4, Park, Wang) und Kategorie (alle „angepasst“); Prüfprotokoll begründet 7 Änderungen.</t>
  </si>
  <si>
    <t>Alle 27 Items mit Quelle (Datensatz Q1–Q4, Park, Wang) und Kategorie (angepasst); Prüfprotokoll mit 11 Änderungen.</t>
  </si>
  <si>
    <t>Keine TRI-Items; AAAW-Items (Park) übersetzt, angepasst und gekennzeichnet.</t>
  </si>
  <si>
    <t>Keine TRI-Items; AAAW-Items (Park) angepasst und gekennzeichnet.</t>
  </si>
  <si>
    <t>Kontext A</t>
  </si>
  <si>
    <t>Kontext B</t>
  </si>
  <si>
    <t>gesamt</t>
  </si>
  <si>
    <t>Kontext A (Steckbrief)</t>
  </si>
  <si>
    <t>Krankenhaus der Regelversorgung; Pflegefachkräfte auf Normalstationen; KI-gestützte Pflegedokumentation (Spracheingabe mit Textvorschlag); Pflegeberichte und Übergaben dokumentieren; in den kommenden 6 Monaten</t>
  </si>
  <si>
    <t>Kontext B (Steckbrief)</t>
  </si>
  <si>
    <t>Industriebetrieb, kaufmännische Abteilungen; Mitarbeitende in Einkauf, Vertrieb und Verwaltung; generativer KI-Assistent (z. B. Microsoft Copilot); E-Mails, Angebote und Berichte erstellen; in den kommenden 6 Monaten</t>
  </si>
  <si>
    <t>30.10.2026 (Lauf 1), 31.10.2026 (Lauf 2)</t>
  </si>
  <si>
    <t>Kontext A, Lauf 1: https://gemini.google.com/app/07d53058a159c440; Kontext A, Lauf 2: https://gemini.google.com/app/7adb779617e898c7; Kontext B, Lauf 1: https://gemini.google.com/app/2696e1711577e520; Kontext B, Lauf 2: https://gemini.google.com/app/168fe69b4279da8e</t>
  </si>
  <si>
    <t>Kontext B, Lauf 1: Literaturverzeichnis mit 24 Quellen (11 bereitgestellt inkl. Datensatz, 13 extern). Im Text zitiert, aber nicht im Literaturverzeichnis: TEIL 1: Trist &amp; Bamforth 1951; Bostrom &amp; Heinen 1977; Rogers 1975 (jeweils „angewandt in“ einem Paper, also wie eine Primärquelle zitiert). TEIL 3: Hu &amp; Bentler 1999; Fornell &amp; Larcker 1981; Cohen 1988; Hair et al. 2019/2022; Edwards 2011; Hoelter 1983; Kock &amp; Hadaya 2018. Grenzfall: Nunnally 1978 („nach Nunnally … Hinkin 1995“). Nicht gezählt (Sekundärzitat): Kortmann 2015 („in Wichmann et al. 2025“). Zusammen 10 fehlende Quellen. Kontext A, Lauf 1: Literaturverzeichnis mit 21 Quellen (10 bereitgestellt, 11 extern); Datensatz_v1 fehlt, obwohl viele Items daraus stammen. Im Text zitiert, aber nicht im Literaturverzeichnis: TEIL 1: Datensatz_v1; Trist &amp; Bamforth 1951; Bostrom &amp; Heinen 1977; Venkatesh et al. 2012; Goodman et al. 2012/2013. TEIL 3: Anderson &amp; Gerbing 1988; Hu &amp; Bentler 1999; Kline 2011; Fornell &amp; Larcker 1981; Hair et al. 2019; Hoelter 1983; Cohen 1988; Henseler et al. 2015. Nicht gezählt (Sekundärzitat, „unter Verweis auf“/„siehe“): Jackson et al. 1993, Lissitz &amp; Green 1975, Kortmann 2015. Zusammen 13 fehlende Quellen. Kontext A, Lauf 2: 22 Quellen im Literaturverzeichnis, viele Sekundärzitate korrekt mit „zitiert in“; es fehlen Trist &amp; Bamforth 1951, Anderson &amp; Gerbing 1991, Schriesheim et al. 1993, Colquitt et al. 2019, Henseler et al. 2015, Hoelter 1983, Jackson 2001, Cronbach &amp; Meehl 1955, Cohen 1988, Fornell &amp; Larcker 1981: 10 fehlende Quellen. Kontext B, Lauf 2: 18 Quellen; es fehlen Tay &amp; Jebb 2018, Hu &amp; Bentler 1999, Cohen 1988, Fornell &amp; Larcker 1981, Hoelter 1983, Jackson 2001 (Grenzfall Nunnally 1978): 6 fehlende Quellen.</t>
  </si>
  <si>
    <t>Prüfliste A4: Abdeckung des Referenzrahmens</t>
  </si>
  <si>
    <t>Version</t>
  </si>
  <si>
    <t>Konstrukt</t>
  </si>
  <si>
    <t>Ergebnis</t>
  </si>
  <si>
    <t>Wo im Output / Name dort</t>
  </si>
  <si>
    <t>V0</t>
  </si>
  <si>
    <t>Absicht, KI für die Tätigkeit zu nutzen (zentral)</t>
  </si>
  <si>
    <t>abgedeckt</t>
  </si>
  <si>
    <t>Nutzungsabsicht (BI); fehlende Konkretisierung von Tätigkeit und Zeitraum wird unter K2.2 geprüft.</t>
  </si>
  <si>
    <t>1.1 Optimismus / wahrgenommener Nutzen</t>
  </si>
  <si>
    <t>Wahrgenommene Nützlichkeit &amp; Leistungserwartung (PERF/PUSF), insbesondere PERF1–PERF3 zur eigenen Arbeitsleistung.</t>
  </si>
  <si>
    <t>1.2 Innovationsfreude (Hintergrundfaktor)</t>
  </si>
  <si>
    <t>fehlt</t>
  </si>
  <si>
    <t>Kein eigenes Konstrukt zur stabilen, technikallgemeinen Neigung, neue Technologien früh auszuprobieren</t>
  </si>
  <si>
    <t>1.3 Unbehagen / Überforderung bei der Nutzung (inkl. Lernangst)</t>
  </si>
  <si>
    <t>Ängste gegenüber KI (FEAR); überwiegend emotionale Reaktionen auf die eigene Nutzung, insbesondere FEAR2 und FEAR3.</t>
  </si>
  <si>
    <t>1.4 Unsicherheit / Misstrauen (Hintergrundfaktor)</t>
  </si>
  <si>
    <t>Integrität &amp; Datenschutz (D) sowie Vertrauen &amp; Autonomiegrad (T) beziehen sich auf das jeweilige KI-System, nicht auf eine stabile, technikallgemeine Skepsis.</t>
  </si>
  <si>
    <t>1.5 Jobunsicherheit durch KI</t>
  </si>
  <si>
    <t>FEAR1 enthält einen Bezug zur beruflichen Position, gehört aber zum überwiegend nutzungsbezogenen Mischkonstrukt FEAR; dieses ist bereits 1.3 zugeordnet. Ein eigenes Konstrukt zur Ersetzung oder zum Arbeitsplatzverlust fehlt.</t>
  </si>
  <si>
    <t>2.1 Wissen / Verständnis</t>
  </si>
  <si>
    <t>Fähigkeit &amp; Erklärbarkeit / Verständnis der KI (X), überwiegend X1 und X2; außerdem technisches Vorwissen über KI in Teil F.</t>
  </si>
  <si>
    <t>2.2 Anwendung</t>
  </si>
  <si>
    <t>Wahrgenommene einfache Bedienbarkeit (PEOU) misst Systemeigenschaften beziehungsweise Einführungsbedarf, nicht die praktische Anwendungskompetenz der Person.</t>
  </si>
  <si>
    <t>2.3 Kritische Bewertung</t>
  </si>
  <si>
    <t>X3 betrifft das Prüfen von Ergebnissen; das Mischkonstrukt X ist wegen der überwiegenden Übereinstimmung bereits 2.1 zugeordnet. Eine eigene Skala zur kritischen Bewertung fehlt.</t>
  </si>
  <si>
    <t>2.4 Ethik</t>
  </si>
  <si>
    <t>Integrität &amp; Datenschutz (D) misst Sicherheitsüberzeugungen zum System, nicht das ethische beziehungsweise rechtliche Wissen der Person und dessen Berücksichtigung.</t>
  </si>
  <si>
    <t>2.5 Selbstwirksamkeit</t>
  </si>
  <si>
    <t>Wahrgenommene Verhaltenskontrolle / Selbstwirksamkeit (PBC), insbesondere PBC3.</t>
  </si>
  <si>
    <t>3.1 Wahrgenommene Norm</t>
  </si>
  <si>
    <t>Soziale Normen (PN).</t>
  </si>
  <si>
    <t>3.2 Unterstützung und Rahmenbedingungen</t>
  </si>
  <si>
    <t>Organisationale Unterstützung &amp; Richtlinien (OS).</t>
  </si>
  <si>
    <t>3.3 Erfahrung mit KI</t>
  </si>
  <si>
    <t>„Bisherige Erfahrung mit KI-basierten Diensten wie ChatGPT“ in Teil F; als ausdrücklich vorgesehene Kontrollfrage berücksichtigt.</t>
  </si>
  <si>
    <t>V1</t>
  </si>
  <si>
    <t>KI-Nutzungsbereitschaft (BI1–BI3).</t>
  </si>
  <si>
    <t>Wahrgenommene Leistungsförderlichkeit (PU1–PU4). „Einstellung zur eigenen KI-Nutzung“ (ATT) gehört inhaltlich ebenfalls hierher, zählt aber nicht doppelt.</t>
  </si>
  <si>
    <t>Kein Konstrukt zur stabilen, technikallgemeinen Neigung, Neues früh auszuprobieren.</t>
  </si>
  <si>
    <t>Nutzungsbezogene KI-Sorge (FEAR1–FEAR3).</t>
  </si>
  <si>
    <t>Der Ausschluss des Organizational Trust Model (1.1.4) betrifft systembezogenes Vertrauen und begründet das Fehlen von 1.4 nicht.</t>
  </si>
  <si>
    <t>Kein Item zur Angst um Arbeitsplatz oder Aufgaben.</t>
  </si>
  <si>
    <t>Subjektive KI-Kompetenz (AB); Mischkonstrukt, größte Übereinstimmung mit 2.1 (AB1, AB4).</t>
  </si>
  <si>
    <t>Nur AB2 innerhalb des Mischkonstrukts AB, das bereits 2.1 zugeordnet ist.</t>
  </si>
  <si>
    <t>Nur AB3 innerhalb des Mischkonstrukts AB, das bereits 2.1 zugeordnet ist.</t>
  </si>
  <si>
    <t>Kein Item zu ethischen, rechtlichen oder gesellschaftlichen Fragen.</t>
  </si>
  <si>
    <t>Wahrgenommene Verhaltenskontrolle (PBC), v. a. PBC3 und PBC4.</t>
  </si>
  <si>
    <t>Wahrgenommene soziale Norm (PN1–PN3).</t>
  </si>
  <si>
    <t>Das allgemeine Constraint „niemals … Organisation (z. B. IT-Support-Strukturen)“ betrifft objektive Merkmale und nennt 3.2 nicht.</t>
  </si>
  <si>
    <t>Keine Frage zur bisherigen Nutzung; die Einleitung bittet Unerfahrene nur, sich die Nutzung vorzustellen.</t>
  </si>
  <si>
    <t>V2</t>
  </si>
  <si>
    <t>KI-Nutzungsbereitschaft (INT_1–INT_3), als Absicht mit TACT definiert.</t>
  </si>
  <si>
    <t>Erwartete Aufgaben-Leistungs-Wirksamkeit (EFF_1–EFF_3). Einstellung zur KI-Nutzung (ATT) passt ebenfalls („positive Einstellung zur KI-Nutzung“).</t>
  </si>
  <si>
    <t>Kein Konstrukt zur technikallgemeinen Neigung, Neues früh auszuprobieren; Ausschluss „Hedonische Motivation“ betrifft Vergnügen, nicht Innovationsfreude.</t>
  </si>
  <si>
    <t>Antizipierte KI-Skepsis / Vorbehalte (ANX_1–ANX_3): Unbehagen, Anspannung, Überforderung.</t>
  </si>
  <si>
    <t>Ausschluss 3 „System-Integrität / Datenschutz“ betrifft systembezogenes Vertrauen (laut Referenzrahmen ausgeschlossen), nicht allgemeine Technikskepsis. Name „KI-Skepsis“ (ANX) misst Gefühle → 1.3.</t>
  </si>
  <si>
    <t>Kein Item zu Arbeitsplatzverlust; ANX_3 „persönliche Nachteile bei der Bewältigung meines Arbeitsalltags“ meint nicht Ersetzung.</t>
  </si>
  <si>
    <t>ABI ist als „subjektives Zutrauen“ definiert → 2.5 (Referenzrahmen 2.1: Zutrauen zählt nicht). Grenzfall: mit V1-Logik (Mischkonstrukt) wäre 2.1 abgedeckt.</t>
  </si>
  <si>
    <t>Nur ABI_4 (kurze Einarbeitung, sicher bedienen) im Zutrauens-Konstrukt ABI.</t>
  </si>
  <si>
    <t>Nur ABI_3 (Ergebnisse auf Korrektheit prüfen) im Konstrukt ABI.</t>
  </si>
  <si>
    <t>Kein Item zu ethischen/rechtlichen Fragen; Ausschluss 3 (System-Datenschutz) betrifft Systemeigenschaften, nicht das Wissen der Person.</t>
  </si>
  <si>
    <t>KI-spezifische Kompetenzerwartung (ABI_1–ABI_4, „Zutrauen“); zusätzlich namentlich Wahrgenommene Verhaltenskontrolle (PBC, inhaltlich Autonomie) – zählt nur einmal.</t>
  </si>
  <si>
    <t>Wahrgenommene soziale Normen (PN_1–PN_3).</t>
  </si>
  <si>
    <t>Keine Items zu Zeit, Schulung, Ansprechpersonen; Unterstützung erscheint nur als Maßnahme in 3.3.3.</t>
  </si>
  <si>
    <t>Keine Frage zur bisherigen Nutzung. Ausschluss „Gewohnheit (Habit)“ betrifft Nutzungsroutinen, nicht Erfahrung.</t>
  </si>
  <si>
    <t>V3</t>
  </si>
  <si>
    <t>Nutzungsabsicht (INT_1–INT_3), mit TACT definiert.</t>
  </si>
  <si>
    <t>Wahrgenommene Nützlichkeit (PU_1–PU_4). Einstellung (ATT) passt ebenfalls, zählt nicht doppelt.</t>
  </si>
  <si>
    <t>Kein Konstrukt zur technikallgemeinen Neigung, Neues früh auszuprobieren; Ausschluss „Hedonic Motivation“ betrifft Vergnügen, nicht Innovationsfreude.</t>
  </si>
  <si>
    <t>KI-Nutzungsangst (ANX_1–ANX_3).</t>
  </si>
  <si>
    <t>Ausgeschlossen ist nur Vertrauen ins System, laut Referenzrahmen ausdrücklich nicht 1.4.</t>
  </si>
  <si>
    <t>KI-bezogene Arbeitsplatzunsicherheit (JINS_1–JINS_3).</t>
  </si>
  <si>
    <t>fehlt (begründet)</t>
  </si>
  <si>
    <t>Ausschlusstabelle: AI Awareness (Wang) ausgeschlossen, mit Begründung.</t>
  </si>
  <si>
    <t>Ausschlusstabelle: AI Usage (Wang) ausgeschlossen, mit Begründung (keine Nutzungserfahrung vor Einführung).</t>
  </si>
  <si>
    <t>KI-Bewertungskompetenz (EVAL_1–EVAL_3).</t>
  </si>
  <si>
    <t>KI-Ethikbewusstsein (ETH_1–ETH_3).</t>
  </si>
  <si>
    <t>Wahrgenommene Verhaltenskontrolle (PBC_1–PBC_3).</t>
  </si>
  <si>
    <t>Keine Items zu Unterstützung/Rahmenbedingungen. Grenzfall: Ausschluss „Perceived Costs / Barriers“ begründet mit Kosten, nicht mit Unterstützung.</t>
  </si>
  <si>
    <t>Habit ausgeschlossen (keine Nutzungserfahrung vor Einführung); CTRL_EXP nur als Kontrollfrage.</t>
  </si>
  <si>
    <t>final A, Lauf 1</t>
  </si>
  <si>
    <t>Nutzungsabsicht (INT_1–INT_3).</t>
  </si>
  <si>
    <t>Persönlicher Nutzenwert (PU_1–PU_4, Personal Utility nach Park); Einstellung (ATT) zählt nicht doppelt.</t>
  </si>
  <si>
    <t>Kein Konstrukt zur technikallgemeinen Neigung, Neues früh auszuprobieren; „Hedonic Motivation“ ist etwas anderes.</t>
  </si>
  <si>
    <t>KI-Nutzungsangst (ANX_1–ANX_4).</t>
  </si>
  <si>
    <t>Ausgeschlossen ist nur Vertrauen ins System (Paper 4), laut Referenzrahmen nicht 1.4.</t>
  </si>
  <si>
    <t>Ausschlusstabelle: Job insecurity (Park) mit Begründung für die Pflege ausgeschlossen.</t>
  </si>
  <si>
    <t>Ausschlusstabelle: Awareness (Wang) mit Begründung ausgeschlossen.</t>
  </si>
  <si>
    <t>Usage (Wang) weder aufgenommen noch ausgeschlossen; US_1 und US_3 dienen nur als Vorlage für Selbstwirksamkeit (zählt bei 2.5).</t>
  </si>
  <si>
    <t>Kritische KI-Bewertungskompetenz (EV_1–EV_3).</t>
  </si>
  <si>
    <t>Ethisches KI-Verantwortungsbewusstsein (ET_1–ET_3).</t>
  </si>
  <si>
    <t>KI-bezogene Selbstwirksamkeit (SE_1–SE_3).</t>
  </si>
  <si>
    <t>Wahrgenommene soziale Norm (PN_1–PN_3).</t>
  </si>
  <si>
    <t>Keine Items zu Unterstützung oder Rahmenbedingungen; ausgeschlossen sind nur staatliche Förderung und Behandlungskosten (andere Inhalte).</t>
  </si>
  <si>
    <t>Habit mit Begründung ausgeschlossen; Vorerfahrung nur als Kontrollfrage (KON_1).</t>
  </si>
  <si>
    <t>final A, Lauf 2</t>
  </si>
  <si>
    <t>Einstellung (ATT), u. a. Vorteil und Freude (Personal utility, Park); Nützlichkeit (TAM) als Systemmerkmal ausgeschlossen.</t>
  </si>
  <si>
    <t>Kein Konstrukt zur technikallgemeinen Neigung, Neues auszuprobieren.</t>
  </si>
  <si>
    <t>Arbeitsplatzunsicherheit durch KI (JIS_1–JIS_4).</t>
  </si>
  <si>
    <t>Awareness (Wang) mit Begründung ausgeschlossen.</t>
  </si>
  <si>
    <t>Usage (Wang) mit Begründung ausgeschlossen.</t>
  </si>
  <si>
    <t>Kritische KI-Bewertungskompetenz (EVA_1–EVA_3).</t>
  </si>
  <si>
    <t>KI-Ethik- und Datenschutzbewusstsein (ETH_1–ETH_3).</t>
  </si>
  <si>
    <t>Wahrgenommene Verhaltenskontrolle mit Aspekt Selbstwirksamkeit (PBC_2).</t>
  </si>
  <si>
    <t>Wahrgenommene soziale Norm (NRM_1–NRM_3).</t>
  </si>
  <si>
    <t>Keine Items zu Unterstützung oder Rahmenbedingungen; ausgeschlossen sind nur Behandlungskosten (anderer Inhalt).</t>
  </si>
  <si>
    <t>Habit mit Begründung ausgeschlossen; Vorerfahrung als Kontrollfrage.</t>
  </si>
  <si>
    <t>final B, Lauf 1</t>
  </si>
  <si>
    <t>Wahrgenommene Nützlichkeit (PU_1–PU_3); Einstellung (ATT) zählt nicht doppelt.</t>
  </si>
  <si>
    <t>Kein Konstrukt zur technikallgemeinen Neigung, Neues früh auszuprobieren.</t>
  </si>
  <si>
    <t>Arbeitsplatzunsicherheit durch KI (JIS_1–JIS_3).</t>
  </si>
  <si>
    <t>Ausschlusstabelle: AI Awareness (Wang) mit Begründung ausgeschlossen.</t>
  </si>
  <si>
    <t>Ausschlusstabelle: AI Usage (Wang) mit Begründung ausgeschlossen.</t>
  </si>
  <si>
    <t>Ethisches KI-Risikobewusstsein (ETH_1–ETH_3).</t>
  </si>
  <si>
    <t>Wahrgenommene Verhaltenskontrolle mit Aspekt Bedienungs-Selbstwirksamkeit (PBC_2).</t>
  </si>
  <si>
    <t>Keine Items zu Unterstützung oder Rahmenbedingungen; nicht als ausgeschlossen begründet.</t>
  </si>
  <si>
    <t>Habit mit Begründung ausgeschlossen; Vorerfahrung nur als Kontrollfrage.</t>
  </si>
  <si>
    <t>final B, Lauf 2</t>
  </si>
  <si>
    <t>Einstellung (ATT_1 vorteilhaft, ATT_3 wichtig); Nützlichkeit (TAM) und Personal utility mit Begründung ausgeschlossen.</t>
  </si>
  <si>
    <t>Job insecurity (Park) mit Begründung ausgeschlossen.</t>
  </si>
  <si>
    <t>Kritische KI-Bewertung (EVA_1–EVA_3).</t>
  </si>
  <si>
    <t>Grenzfall: Verhaltenskontrolle nur als Autonomie definiert; Abilities (HIS) und Ease of use mit Begründung ausgeschlossen („durch Kritische KI-Bewertung abgedeckt“).</t>
  </si>
  <si>
    <t>Subjektive Norm (PN_1–PN_3).</t>
  </si>
  <si>
    <t>Facilitating Conditions bei der Abgrenzung von UTAUT2 als Organisationsmerkmal begründet ausgeschlossen.</t>
  </si>
  <si>
    <t>Vergleich der Versionen (Endwerte; final = Mittelwert der 4 Läufe)</t>
  </si>
  <si>
    <t>final</t>
  </si>
  <si>
    <t>Robustheit final (gesamt)</t>
  </si>
  <si>
    <t>Mindest-anforderung?</t>
  </si>
  <si>
    <t>Kontext B, Lauf 1</t>
  </si>
  <si>
    <t>Kontext B, Lauf 2</t>
  </si>
  <si>
    <t>Mittelwert</t>
  </si>
  <si>
    <t>Spannweite</t>
  </si>
  <si>
    <t>TEIL 1, 1.1–1.3: RAA, ergänzt um Nützlichkeit (TAM/UTAUT), AAAW (Park) und AI Literacy (Wang); fünf Vergleichskriterien, Passung zu Mitarbeitenden vor der Einführung; abgegrenzt gegen TTF, Vertrauensmodell, STS und PMT/HBM.</t>
  </si>
  <si>
    <t>TEIL 1, 1.1–1.3: RAA, ergänzt um Nutzungsangst (Park) sowie Bewertungs- und Ethikkompetenz (Wang, Lintner); fünf Kriterien inkl. kaufmännischer Arbeit; abgegrenzt gegen TTF, UTAUT2 und Vertrauensmodell.</t>
  </si>
  <si>
    <t>TEIL 1, 3.1: alle 9 Konstrukte mit (a) Was, (b) Wer, (c) Aspekte und Abgrenzung zum ähnlichsten Konstrukt. Zielkonstrukt INT ohne Einflussfaktor.</t>
  </si>
  <si>
    <t>TEIL 1, 3.1: 7 Konstrukte mit (a), (b), (c) und Abgrenzung; Zielkonstrukt INT ohne Einflussfaktor.</t>
  </si>
  <si>
    <t>H1–H8 jeweils mit RAA, TAM/UTAUT, Self-Efficacy, Park et al. 2024, Wang et al. 2022 oder Wichmann et al. 2024/2025 begründet.</t>
  </si>
  <si>
    <t>H1–H6 mit RAA, Park et al. 2024, Wang et al. 2022, Do Khac et al. 2025 und Wichmann et al. 2024/2025 begründet.</t>
  </si>
  <si>
    <t>6 abgedeckt (Z, 1.1, 1.3, 2.3, 2.4, 3.1), 6 begründet fehlend (1.5, 2.1, 2.2, 2.5, 3.2, 3.3), 2 fehlen (1.2, 1.4): 12 von 14. Grenzfall 2.5 (siehe Prüfliste A4).</t>
  </si>
  <si>
    <t>TEIL 1, 4.1: 9 Konstrukte mit je 3 Items, 27 Konstrukt-Items.</t>
  </si>
  <si>
    <t>TEIL 1, Schritt 4: 7 Konstrukte mit 3 bis 4 Items, 22 Konstrukt-Items.</t>
  </si>
  <si>
    <t>Keine Items mit zwei Inhalten, doppelter Verneinung oder Konstruktmischung.</t>
  </si>
  <si>
    <t>Keine Verstöße außerhalb der unter B2 bewerteten Items. „würden befürworten/empfehlen“ (PN) über die Zeit vor der Einführung begründet. Hinweis: Tippfehler „Ich trage mir zu“ (EVA_1) nur in der Item-Tabelle, in TEIL 2 korrekt.</t>
  </si>
  <si>
    <t>Alle Items regelkonform. Grenzfall: PN_3 „Fachkollegen“ (nur männliche Form), wie in den anderen Läufen nicht gezählt.</t>
  </si>
  <si>
    <t>Mindestens 3 fast gleiche Paare: INT_1 ↔ INT_3 (plane / nehme mir vor), INT_1 ↔ INT_2 (plane / beabsichtige), PBC_1 ↔ PBC_3 (unter meiner Kontrolle / Handlungsfreiheit nach Bedarf). Grenzfall: PN_2 ↔ PN_3.</t>
  </si>
  <si>
    <t>Zwei fast gleiche Paare: INT_1 ↔ INT_2 (plane / beabsichtige), PBC_1 ↔ PBC_2 („Es liegt in meiner Hand“ / „Ich habe die Kontrolle darüber“). Grenzfall: PN_1 ↔ PN_2.</t>
  </si>
  <si>
    <t>TEIL 3, 1–2: reflektiv, 9 korrelierte eindimensionale Faktoren; Zuordnung jedes Items zu genau einem Konstrukt.</t>
  </si>
  <si>
    <t>TEIL 3, 1–2: reflektiv, mehrdimensional (7 korrelierte Faktoren); Zuordnung Item → Konstrukt.</t>
  </si>
  <si>
    <t>TEIL 2: Aussagen mit 7-stufiger, voll beschrifteter Zustimmungsskala.</t>
  </si>
  <si>
    <t>TEIL 3, 3–4: Mittelwert je Konstrukt, keine Umpolung nötig; Skalenniveau genannt.</t>
  </si>
  <si>
    <t>Platzhalter mit Legende in allen Teilen, Werte aus dem Prompt übernommen; keine erfundenen Angaben.</t>
  </si>
  <si>
    <t>Platzhalter mit Legende in allen Teilen, Werte aus dem Prompt; nichts erfunden.</t>
  </si>
  <si>
    <t>TEIL 1, Schritt 2: Target, Action, Context mit Rolle, Time.</t>
  </si>
  <si>
    <t>22 von 22 Konstrukt-Items beziehen sich auf [KI-Anwendung] und [Tätigkeit].</t>
  </si>
  <si>
    <t>TEIL 2, Einleitung: (1) „vollständig anonym“, (2) Hinweise zum Ausfüllen, (3) Erklärung von KI mit Beispiel aus der eigenen Arbeit.</t>
  </si>
  <si>
    <t>TEIL 2, Einleitung: Anonymität, Hinweise zum Ausfüllen, Erklärung von KI mit Beispiel (Stichpunkte zu Lieferantenanfrage).</t>
  </si>
  <si>
    <t>TEIL 2 vollständig (28 Aussagen mit Skala, 3 Kurzfragen), ohne Codes und Konstruktnamen. Aber: Die Anonymitätszusage enthält Quellen (Wichmann et al., 2025; Do Khac et al., 2025), und vor der Einleitung steht eine „Vorab-Dokumentation für das Projektteam“ mit Quellen.</t>
  </si>
  <si>
    <t>TEIL 2 vollständig (24 Aussagen mit Skala, 1 Kurzfrage). Aber: Der „Vorab-Hinweis zur Konstruktion“ in der Befragtenfassung nennt die Konstruktnamen (Nutzungseinstellung, Subjektive Norm …).</t>
  </si>
  <si>
    <t>TEIL 3: Zuordnung Nr. → Item → Konstrukt, Polung, Verrechnung als Mittelwert, Interpretationshinweise.</t>
  </si>
  <si>
    <t>TEIL 3: Zuordnung, Polung, Verrechnung, Interpretationshinweise mit Schwellenwerten.</t>
  </si>
  <si>
    <t>TEIL 2: „etwa 6 bis 8 Minuten“; Reihenfolge durchmischt, online randomisiert, begründet.</t>
  </si>
  <si>
    <t>TEIL 2: „etwa 5 bis 7 Minuten“; Reihenfolge durchmischt, begründet.</t>
  </si>
  <si>
    <t>Item-Tabelle: jedes Item → Aspekt → Konstrukt → H1–H8 → RAA bzw. begründete Erweiterung; INT als Zielkonstrukt.</t>
  </si>
  <si>
    <t>Item-Tabelle: jedes Item → Aspekt → Konstrukt → H1–H6 → RAA bzw. Erweiterung.</t>
  </si>
  <si>
    <t>Alle 27 Items mit Quelle und Kategorie (angepasst oder neu); Prüfprotokoll begründet zwei Neuformulierungen (PU_2, EVA_2) wegen ausgeschlossener Quellen.</t>
  </si>
  <si>
    <t>Alle 22 Items mit Quelle und Kategorie (angepasst); Prüfprotokoll mit Änderungen.</t>
  </si>
  <si>
    <t>Keine TRI-Items; AAAW-Items (Park) übersetzt, kontextualisiert und als „angepasst“ gekennzeichnet.</t>
  </si>
  <si>
    <t>Robustheit (Anteil der Läufe, die die Mindestanforderungen erfüllen; Sollwert: alle)</t>
  </si>
  <si>
    <t>Keine inhaltliche Änderung gegenüber V3. Platzhalter mit den Werten des Kontexts gefüllt. Wegen Abbrüchen bei langen Antworten am Ende ergänzt: „Gib in deiner ersten Antwort nur TEIL 1 aus. TEIL 2 und TEIL 3 gibst du jeweils aus, wenn ich ‚weiter‘ schreibe.“ Kontext A, Lauf 2: Nach „weiter“ für TEIL 3 kam eine zusätzliche Nachricht „Passe das Format an die vorherigen Teile an.“ (nur Formatierung; Inhalt von TEIL 3 gleich, bewertet wurde die erste Fassung).</t>
  </si>
  <si>
    <t>Korrektur Autorin</t>
  </si>
  <si>
    <t>Wert Prüfmodell</t>
  </si>
  <si>
    <t>Gemini: https://share.gemini.google/nxCAPupcq3Ae; Claude: https://claude.ai/share/bb31f864-2c75-4d93-a673-74806a7ef69b</t>
  </si>
  <si>
    <t>Alle Quellen außerhalb des Datensatzes von der Autorin geprüft. Keine erfundene und keine widerlegte Quelle.</t>
  </si>
  <si>
    <t>Gemini: https://share.gemini.google/XNl7oCmwep5G; Claude: https://claude.ai/share/79d96309-0f70-4fed-8510-895ed4efa42b</t>
  </si>
  <si>
    <t>Nr. 9/PBC_3 „Wenn ich es mir vornehme, werde ich … problemlos [KI] nutzen können“ misst Fähigkeit/Zutrauen; PBC ist in 1.3.2 als „Entscheidungsfreiheit, Autonomie und Steuerbarkeit“ definiert. Überschneidung mit ABI_4. Alle übrigen Items im Pre-Adoption-Modus und auf Mitarbeitende bezogen. Grenzfall, als Verstoß gewertet.</t>
  </si>
  <si>
    <t>Nr. 8/PBC_2 „Ob und in welchem Umfang ich … heranziehe, liegt überwiegend in meiner eigenen Hand“ fragt nach zwei Dingen (ob / wie viel). Grenzfall, als Verstoß gewertet. Übrige Items: eine Sache, keine doppelte Verneinung.</t>
  </si>
  <si>
    <t>Teil 2 (Chat): 22 Items mit beschrifteter Skala, keine Codes, Quellen, Hypothesen oder Konstruktnamen. Hinweis: Auch die korrigierte PDF-Befragtenfassung (27.10., 4 S.) ist unvollständig: Nr. 10 fehlt ganz, Nr. 3, 9, 16 und 22 sind mitten im Satz abgeschnitten → mit PDF als Maßstab E2 = 0 (Pflicht verfehlt).</t>
  </si>
  <si>
    <t>Gemini: https://share.gemini.google/bFXzxXmDhtSA; Claude: https://claude.ai/share/1ec2850f-0e7a-4eab-a85b-54f889d500b1</t>
  </si>
  <si>
    <t>Chat-Links (Erzeuger, Prüfmodell)</t>
  </si>
  <si>
    <t>PU_4 „… stärkt mein Vertrauen in meine eigenen beruflichen Fähigkeiten“: Aspekt 5d nicht in Definition (a) von PU, nahe an Selbstwirksamkeit (2.5). Als Verstoß gewertet, wie PBC_3 in V2. ETH_1, ETH_2, ETH_3, PBC_1 und JINS_2 sind im Präsens formuliert, stehen aber hinter der Blockanweisung „Bitte stellen Sie sich vor, dass [KI-Anwendung] [Zeitraum] … eingeführt wird“ und gelten deshalb nicht als Verstoß (Regel zur Rahmung vor dem Itemblock, wie in den finalen Läufen).</t>
  </si>
  <si>
    <t>Teil 1 enthält Theorie, Definitionen, Hypothesen und Zuordnung. Hinweis: In der PDF-Fassung von Teil 1 sind Seitenenden abgeschnitten (u. a. ATT 2c, PBC_2/3, EVAL_2 bis ETH_3, Teil von 4.6); vollständig nur in der Chat-Antwort.</t>
  </si>
  <si>
    <t>Gemini: https://share.gemini.google/olkdcYlKbizx; Claude: https://claude.ai/share/1b06544a-98b2-4686-a757-c6fae41611fe</t>
  </si>
  <si>
    <t>Prompt unverändert aus V3, nur Platzhalter mit Werten gefüllt. Keine Theorie und keine Konstruktliste; TACT mit Fishbein &amp; Ajzen zählt als Verfahrensregel.</t>
  </si>
  <si>
    <t>ET_1–ET_3 („wenn ich … einsetze“) und EV_1–EV_3 („bei meinem Einsatz“) stehen hinter der Anweisung „Bitte stellen Sie sich vor, dass [KI-Anwendung] in unserem Haus bereitgestellt wird“, deshalb kein Verstoß (Regel zur Rahmung vor dem Itemblock). Grenzfall: PU_1 „… hätte ich gesteigertes Vertrauen in meine beruflichen Fähigkeiten“ ist nah an Selbstwirksamkeit wie PU_4 in V3. Anders als in V3 steht der Aspekt hier aber in Definition (a) und (c1) von K5, deshalb nicht als Verstoß gewertet.</t>
  </si>
  <si>
    <t>Vor dem Itemblock steht nur „Alle nachfolgenden Aussagen beziehen sich auf die Einführung und Nutzung … in den kommenden 6 Monaten“, keine Bitte, sich die Einführung vorzustellen. Die Regel zur Rahmung greift damit nicht. Nutzung setzen voraus: ETH_1–ETH_3 („wenn ich … verwende/einsetze“), EVA_1–EVA_3 („bei meiner Nutzung“), JIS_1, JIS_2 („durch/wegen meiner Nutzung“). Grenzfall: Der Hinweis bezieht die Aussagen ausdrücklich auf die Zeit nach der Einführung. Bewertet mit 0, weil die Regel die Bitte, sich die Einführung vorzustellen, ausdrücklich verlangt.</t>
  </si>
  <si>
    <t>Fünf Items sind im Präsens formuliert, als würde KI schon genutzt: ETH_1, ETH_2, ETH_3, PBC_1, JIS_3 („… wenn ich … einsetze“). Direkt vor dem Itemblock steht aber „Bitte stellen Sie sich vor, dass [KI-Anwendung] … zur Verfügung gestellt wird“. Damit beziehen sich die Items auf eine vorgestellte Nutzung und setzen keine Erfahrung voraus. Korrektur: zulässig wegen der Rahmung vor dem Itemblock.</t>
  </si>
  <si>
    <t>Theorie- und Konstruktauswahl inkl. Ausschlusstabelle begründet; Abweichungen in Abschnitt 5 begründet (Umpolung, Itemzahl, Skala, Reihenfolge). „Keine Abweichungen von 4.1–4.6“ stimmt nach der Regel zur Rahmung.</t>
  </si>
  <si>
    <t>Theorie- und Konstruktauswahl inkl. Ausschlusstabelle begründet. „Methodische Entscheidungen“ Nr. 4 sagt „keine Abweichungen“. Das stimmt, weil die fünf Items unter B2 wegen der Rahmung vor dem Itemblock als zulässig gelten (Regel zur Rahmung vor dem Itemblock). Korrektur: kein Widerspruch mehr.</t>
  </si>
  <si>
    <t>Theorie- und Konstruktauswahl inkl. Ausschlusstabelle begründet; Abweichungen begründet (Umpolung, Reihenfolge, Item X3). „Keine Abweichungen“ stimmt nach der Regel zur Rahmung.</t>
  </si>
  <si>
    <t>ETH_1, ETH_3 („wenn ich … einsetze“) und EVA_2, EVA_3 („bei meiner Nutzung“) stehen hinter „Bitte stellen Sie sich vor, dass in Ihrem Arbeitsbereich [Zeitraum] ein [KI-Anwendung] bereitgestellt wird“, deshalb kein Verstoß (Regel zur Rahmung vor dem Itemblock). Grenzfall: ATT_3 „Mir wäre es wichtig, [KI-Anwendung] … zu nutzen“ liegt nah an der Nutzungsabsicht, ist aber als Aspekt „Subjektive Wichtigkeit“ in ATT definiert.</t>
  </si>
  <si>
    <t>Von der Autorin geprüft: keine erfundene und keine widerlegte Quelle. Quellen, die nur im Text und nicht im Literaturverzeichnis stehen, sind unter BO1 vermerkt.</t>
  </si>
  <si>
    <t>Externe Quellen bis auf zwei dieselben wie in den anderen Läufen (von der Autorin geprüft). Neu: Ajzen 2020, beide existieren mit den angegebenen Angaben. Fehlende Einträge im Literaturverzeichnis unter BO1.</t>
  </si>
  <si>
    <t>Externe Quellen bis auf zwei dieselben wie in den anderen Läufen (von der Autorin geprüft). Neu: Podsakoff et al. 2016, beide existieren mit den angegebenen Angaben. Fehlende Einträge im Literaturverzeichnis unter BO1.</t>
  </si>
  <si>
    <t xml:space="preserve">Die Änderungen leiten sich aus den Fehlern in V2 ab. Ab V2 flossen Vorschläge von Claude Opus 5.5 als Berater ein; jeder Vorschlag wurde vor der Übernahme von der Autorin geprüft. </t>
  </si>
  <si>
    <t>Halten alle Quellen außerhalb des Datensatzes der Gegenprüfung stand?
Je Quelle: belegt · widerlegt · erfunden · nicht prüfbar. 2 = keine erfundene und keine widerlegte Quelle. 0 = mindestens eine. Keine externen Quellen = 2. „Nicht prüfbar“ wird gezählt, ist aber kein K.o.</t>
  </si>
  <si>
    <t>Der Fragebogen arbeitet ohne konkreten Kontext, fragt aber das Aufgabenspektrum des Mitarbeiters ab bevor er in den Bezug von Ki zur Aufgabe übergeht. Es gibt einen Hinweis auf die Adaption aus Fragebogen 3, jedoch keine Begründung, warum diese Abfrage notwendig ist und welchem Zweck sie dient.</t>
  </si>
  <si>
    <t>Es gibt Empfehlungen zur Auswertung, die sind jedoch sehr allgemein gehalten und ohne Fachexpertise kaum umzusetzen.</t>
  </si>
  <si>
    <t>Teil 3 gibt zwar Formeln zur Mittelwertbildung und Umpolungsregeln vor, begründet aber nicht, warum exakt dieses Messmodell (z. B. reflektiv vs. formativ) gewählt wurde und auf welchen testtheoretischen Annahmen die Schwellenwerte basieren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</si>
</sst>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0"/>
      <color theme="1"/>
      <name val="Arial"/>
      <family val="2"/>
    </font>
    <font>
      <b/>
      <sz val="11"/>
      <color theme="1"/>
      <name val="Aptos Narrow"/>
      <family val="2"/>
      <scheme val="minor"/>
    </font>
    <font>
      <u/>
      <sz val="11"/>
      <color theme="1"/>
      <name val="Aptos Narrow"/>
      <family val="2"/>
      <scheme val="minor"/>
    </font>
    <font>
      <b/>
      <sz val="11"/>
      <color theme="1"/>
      <name val="Calibri"/>
      <family val="2"/>
    </font>
    <font>
      <b/>
      <sz val="14"/>
      <color theme="1"/>
      <name val="Calibri"/>
      <family val="2"/>
    </font>
    <font>
      <b/>
      <sz val="12"/>
      <color theme="1"/>
      <name val="Arial"/>
      <family val="2"/>
    </font>
    <font>
      <sz val="10"/>
      <color theme="1"/>
      <name val="Arial"/>
      <family val="2"/>
    </font>
  </fonts>
  <fills count="10">
    <fill>
      <patternFill patternType="none"/>
    </fill>
    <fill>
      <patternFill patternType="gray125"/>
    </fill>
    <fill>
      <patternFill patternType="solid">
        <fgColor rgb="FFF2F2F2"/>
      </patternFill>
    </fill>
    <fill>
      <patternFill patternType="solid">
        <fgColor rgb="FFD9E1F2"/>
      </patternFill>
    </fill>
    <fill>
      <patternFill patternType="solid">
        <fgColor rgb="FFE7E6E6"/>
      </patternFill>
    </fill>
    <fill>
      <patternFill patternType="solid">
        <fgColor rgb="FFFFF2CC"/>
      </patternFill>
    </fill>
    <fill>
      <patternFill patternType="solid">
        <fgColor rgb="FFE2EFDA"/>
      </patternFill>
    </fill>
    <fill>
      <patternFill patternType="solid">
        <fgColor rgb="FFFFF2CC"/>
        <bgColor rgb="FFF2F2F2"/>
      </patternFill>
    </fill>
    <fill>
      <patternFill patternType="solid">
        <fgColor rgb="FFBDD7EE"/>
      </patternFill>
    </fill>
    <fill>
      <patternFill patternType="solid">
        <fgColor theme="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0" fontId="1" fillId="0" borderId="0" applyNumberFormat="0" applyFill="0" applyBorder="0" applyAlignment="0" applyProtection="0"/>
  </cellStyleXfs>
  <cellXfs count="64">
    <xf numFmtId="0" fontId="0" fillId="0" borderId="0" xfId="0"/>
    <xf numFmtId="0" fontId="2" fillId="8" borderId="1" xfId="0" applyFont="1" applyFill="1" applyBorder="1" applyAlignment="1">
      <alignment vertical="top" wrapText="1"/>
    </xf>
    <xf numFmtId="0" fontId="3" fillId="0" borderId="0" xfId="0" applyFont="1"/>
    <xf numFmtId="0" fontId="0" fillId="0" borderId="1" xfId="0" applyBorder="1" applyAlignment="1">
      <alignment vertical="top" wrapText="1"/>
    </xf>
    <xf numFmtId="0" fontId="0" fillId="4" borderId="1" xfId="0" applyFill="1" applyBorder="1"/>
    <xf numFmtId="0" fontId="0" fillId="5" borderId="1" xfId="0" applyFill="1" applyBorder="1"/>
    <xf numFmtId="0" fontId="0" fillId="6" borderId="1" xfId="0" applyFill="1" applyBorder="1"/>
    <xf numFmtId="0" fontId="0" fillId="0" borderId="1" xfId="0" applyBorder="1"/>
    <xf numFmtId="0" fontId="5" fillId="2" borderId="0" xfId="0" applyFont="1" applyFill="1"/>
    <xf numFmtId="0" fontId="0" fillId="2" borderId="0" xfId="0" applyFill="1"/>
    <xf numFmtId="9" fontId="0" fillId="4" borderId="1" xfId="0" applyNumberFormat="1" applyFill="1" applyBorder="1"/>
    <xf numFmtId="9" fontId="0" fillId="5" borderId="1" xfId="0" applyNumberFormat="1" applyFill="1" applyBorder="1"/>
    <xf numFmtId="9" fontId="0" fillId="6" borderId="1" xfId="0" applyNumberFormat="1" applyFill="1" applyBorder="1"/>
    <xf numFmtId="0" fontId="3" fillId="0" borderId="0" xfId="0" applyFont="1" applyAlignment="1">
      <alignment vertical="top"/>
    </xf>
    <xf numFmtId="0" fontId="3" fillId="0" borderId="0" xfId="0" applyFont="1" applyAlignment="1">
      <alignment horizontal="left" vertical="top" wrapText="1"/>
    </xf>
    <xf numFmtId="0" fontId="6" fillId="0" borderId="0" xfId="0" applyFont="1"/>
    <xf numFmtId="0" fontId="0" fillId="0" borderId="0" xfId="0" applyAlignment="1">
      <alignment vertical="top" wrapText="1"/>
    </xf>
    <xf numFmtId="0" fontId="5" fillId="3" borderId="1" xfId="0" applyFont="1" applyFill="1" applyBorder="1" applyAlignment="1">
      <alignment vertical="top" wrapText="1"/>
    </xf>
    <xf numFmtId="0" fontId="6" fillId="0" borderId="0" xfId="0" applyFont="1" applyAlignment="1">
      <alignment horizontal="left" vertical="top"/>
    </xf>
    <xf numFmtId="0" fontId="0" fillId="0" borderId="0" xfId="0" applyAlignment="1">
      <alignment horizontal="left" vertical="top"/>
    </xf>
    <xf numFmtId="0" fontId="5" fillId="3" borderId="1" xfId="0" applyFont="1" applyFill="1" applyBorder="1" applyAlignment="1">
      <alignment horizontal="left" vertical="top" wrapText="1"/>
    </xf>
    <xf numFmtId="0" fontId="5" fillId="2" borderId="0" xfId="0" applyFont="1" applyFill="1" applyAlignment="1">
      <alignment horizontal="left" vertical="top"/>
    </xf>
    <xf numFmtId="0" fontId="0" fillId="2" borderId="0" xfId="0" applyFill="1" applyAlignment="1">
      <alignment horizontal="left" vertical="top"/>
    </xf>
    <xf numFmtId="0" fontId="0" fillId="0" borderId="1" xfId="0" applyBorder="1" applyAlignment="1">
      <alignment horizontal="left" vertical="top" wrapText="1"/>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6" borderId="1" xfId="0" applyFill="1" applyBorder="1" applyAlignment="1">
      <alignment horizontal="left" vertical="top"/>
    </xf>
    <xf numFmtId="0" fontId="0" fillId="0" borderId="1" xfId="0" applyBorder="1" applyAlignment="1">
      <alignment horizontal="left" vertical="top"/>
    </xf>
    <xf numFmtId="9" fontId="0" fillId="4" borderId="1" xfId="0" applyNumberFormat="1" applyFill="1" applyBorder="1" applyAlignment="1">
      <alignment horizontal="left" vertical="top"/>
    </xf>
    <xf numFmtId="9" fontId="0" fillId="5" borderId="1" xfId="0" applyNumberFormat="1" applyFill="1" applyBorder="1" applyAlignment="1">
      <alignment horizontal="left" vertical="top"/>
    </xf>
    <xf numFmtId="9" fontId="0" fillId="6" borderId="1" xfId="0" applyNumberFormat="1" applyFill="1" applyBorder="1" applyAlignment="1">
      <alignment horizontal="left" vertical="top"/>
    </xf>
    <xf numFmtId="0" fontId="5" fillId="0" borderId="0" xfId="0" applyFont="1" applyAlignment="1">
      <alignment horizontal="left" vertical="top"/>
    </xf>
    <xf numFmtId="0" fontId="0" fillId="6" borderId="0" xfId="0" applyFill="1" applyAlignment="1">
      <alignment horizontal="left" vertical="top"/>
    </xf>
    <xf numFmtId="0" fontId="0" fillId="0" borderId="0" xfId="0" applyAlignment="1">
      <alignment horizontal="left" vertical="top" wrapText="1"/>
    </xf>
    <xf numFmtId="0" fontId="5" fillId="0" borderId="0" xfId="0" applyFont="1"/>
    <xf numFmtId="0" fontId="0" fillId="6" borderId="0" xfId="0" applyFill="1"/>
    <xf numFmtId="0" fontId="0" fillId="0" borderId="0" xfId="0" applyAlignment="1">
      <alignment wrapText="1"/>
    </xf>
    <xf numFmtId="0" fontId="5" fillId="3" borderId="1" xfId="0" applyFont="1" applyFill="1" applyBorder="1"/>
    <xf numFmtId="2" fontId="0" fillId="6" borderId="0" xfId="0" applyNumberFormat="1" applyFill="1"/>
    <xf numFmtId="9" fontId="0" fillId="6" borderId="0" xfId="0" applyNumberFormat="1" applyFill="1"/>
    <xf numFmtId="0" fontId="0" fillId="0" borderId="0" xfId="0" applyAlignment="1">
      <alignment vertical="top"/>
    </xf>
    <xf numFmtId="0" fontId="8" fillId="0" borderId="0" xfId="0" applyFont="1" applyAlignment="1">
      <alignment wrapText="1"/>
    </xf>
    <xf numFmtId="0" fontId="0" fillId="5" borderId="0" xfId="0" applyFill="1" applyAlignment="1">
      <alignment wrapText="1"/>
    </xf>
    <xf numFmtId="0" fontId="0" fillId="7" borderId="0" xfId="0" applyFill="1" applyAlignment="1">
      <alignment wrapText="1"/>
    </xf>
    <xf numFmtId="0" fontId="0" fillId="7" borderId="0" xfId="0" applyFill="1" applyAlignment="1">
      <alignment vertical="top" wrapText="1"/>
    </xf>
    <xf numFmtId="0" fontId="5" fillId="2" borderId="2" xfId="0" applyFont="1" applyFill="1" applyBorder="1"/>
    <xf numFmtId="0" fontId="0" fillId="0" borderId="0" xfId="0" applyAlignment="1">
      <alignment vertical="top" wrapText="1"/>
    </xf>
    <xf numFmtId="0" fontId="0" fillId="5" borderId="0" xfId="0" applyFill="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4" fillId="5" borderId="0" xfId="1" applyFont="1" applyFill="1" applyAlignment="1">
      <alignment horizontal="left" vertical="top" wrapText="1"/>
    </xf>
    <xf numFmtId="0" fontId="5" fillId="3" borderId="0" xfId="0" applyFont="1" applyFill="1" applyAlignment="1">
      <alignment horizontal="left" vertical="top"/>
    </xf>
    <xf numFmtId="14" fontId="0" fillId="5" borderId="0" xfId="0" applyNumberFormat="1" applyFill="1" applyAlignment="1">
      <alignment horizontal="left" vertical="top" wrapText="1"/>
    </xf>
    <xf numFmtId="0" fontId="0" fillId="5" borderId="0" xfId="0" applyFill="1" applyAlignment="1">
      <alignment horizontal="left" vertical="center" wrapText="1"/>
    </xf>
    <xf numFmtId="0" fontId="0" fillId="0" borderId="0" xfId="0"/>
    <xf numFmtId="0" fontId="5" fillId="0" borderId="0" xfId="0" applyFont="1"/>
    <xf numFmtId="0" fontId="4" fillId="5" borderId="0" xfId="1" applyFont="1" applyFill="1" applyAlignment="1">
      <alignment horizontal="left" vertical="center" wrapText="1"/>
    </xf>
    <xf numFmtId="0" fontId="5" fillId="3" borderId="0" xfId="0" applyFont="1" applyFill="1"/>
    <xf numFmtId="14" fontId="0" fillId="5" borderId="0" xfId="0" applyNumberFormat="1" applyFill="1" applyAlignment="1">
      <alignment horizontal="left" vertical="center" wrapText="1"/>
    </xf>
    <xf numFmtId="0" fontId="0" fillId="5" borderId="0" xfId="0" applyFill="1" applyAlignment="1">
      <alignment horizontal="center" vertical="top" wrapText="1"/>
    </xf>
    <xf numFmtId="0" fontId="0" fillId="9" borderId="0" xfId="0" applyFill="1" applyAlignment="1">
      <alignment horizontal="left" vertical="top" wrapText="1"/>
    </xf>
    <xf numFmtId="0" fontId="7" fillId="0" borderId="0" xfId="0" applyFont="1" applyAlignment="1">
      <alignment horizontal="left" wrapText="1"/>
    </xf>
    <xf numFmtId="0" fontId="0" fillId="0" borderId="0" xfId="0" applyAlignment="1">
      <alignment wrapText="1"/>
    </xf>
  </cellXfs>
  <cellStyles count="2">
    <cellStyle name="Link" xfId="1" builtinId="8"/>
    <cellStyle name="Standard" xfId="0" builtinId="0"/>
  </cellStyles>
  <dxfs count="4">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bgColor rgb="FFFFFF99"/>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hare.gemini.google/xQqrJIaF2g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EFC2F-A8F7-46D3-B1A1-6DBA8E689B14}">
  <sheetPr>
    <pageSetUpPr fitToPage="1"/>
  </sheetPr>
  <dimension ref="A1:H37"/>
  <sheetViews>
    <sheetView workbookViewId="0">
      <selection activeCell="B9" sqref="B9"/>
    </sheetView>
  </sheetViews>
  <sheetFormatPr baseColWidth="10" defaultRowHeight="15" x14ac:dyDescent="0.25"/>
  <cols>
    <col min="2" max="2" width="48.140625" customWidth="1"/>
    <col min="3" max="3" width="62" customWidth="1"/>
    <col min="8" max="8" width="40.140625" customWidth="1"/>
  </cols>
  <sheetData>
    <row r="1" spans="1:8" ht="18.75" x14ac:dyDescent="0.3">
      <c r="A1" s="15" t="s">
        <v>0</v>
      </c>
    </row>
    <row r="2" spans="1:8" x14ac:dyDescent="0.25">
      <c r="A2" s="46" t="s">
        <v>1</v>
      </c>
      <c r="B2" s="46"/>
      <c r="C2" s="46"/>
      <c r="D2" s="46"/>
      <c r="E2" s="46"/>
      <c r="F2" s="46"/>
      <c r="G2" s="46"/>
      <c r="H2" s="46"/>
    </row>
    <row r="4" spans="1:8" ht="30" x14ac:dyDescent="0.25">
      <c r="A4" s="17" t="s">
        <v>2</v>
      </c>
      <c r="B4" s="17" t="s">
        <v>3</v>
      </c>
      <c r="C4" s="17" t="s">
        <v>4</v>
      </c>
      <c r="D4" s="17" t="s">
        <v>5</v>
      </c>
      <c r="E4" s="17" t="s">
        <v>6</v>
      </c>
      <c r="F4" s="17" t="s">
        <v>7</v>
      </c>
      <c r="G4" s="17" t="s">
        <v>8</v>
      </c>
      <c r="H4" s="17" t="s">
        <v>9</v>
      </c>
    </row>
    <row r="5" spans="1:8" x14ac:dyDescent="0.25">
      <c r="A5" s="45" t="s">
        <v>10</v>
      </c>
      <c r="B5" s="45"/>
      <c r="C5" s="45"/>
      <c r="D5" s="45"/>
      <c r="E5" s="45"/>
      <c r="F5" s="45"/>
      <c r="G5" s="45"/>
      <c r="H5" s="45"/>
    </row>
    <row r="6" spans="1:8" ht="60" x14ac:dyDescent="0.25">
      <c r="A6" s="3" t="s">
        <v>11</v>
      </c>
      <c r="B6" s="3" t="s">
        <v>12</v>
      </c>
      <c r="C6" s="3" t="s">
        <v>13</v>
      </c>
      <c r="D6" s="3" t="s">
        <v>14</v>
      </c>
      <c r="E6" s="3">
        <v>2</v>
      </c>
      <c r="F6" s="3" t="s">
        <v>15</v>
      </c>
      <c r="G6" s="3" t="s">
        <v>16</v>
      </c>
      <c r="H6" s="3" t="s">
        <v>17</v>
      </c>
    </row>
    <row r="7" spans="1:8" x14ac:dyDescent="0.25">
      <c r="A7" s="45" t="s">
        <v>18</v>
      </c>
      <c r="B7" s="45"/>
      <c r="C7" s="45"/>
      <c r="D7" s="45"/>
      <c r="E7" s="45"/>
      <c r="F7" s="45"/>
      <c r="G7" s="45"/>
      <c r="H7" s="45"/>
    </row>
    <row r="8" spans="1:8" ht="75" x14ac:dyDescent="0.25">
      <c r="A8" s="3" t="s">
        <v>19</v>
      </c>
      <c r="B8" s="3" t="s">
        <v>20</v>
      </c>
      <c r="C8" s="3" t="s">
        <v>21</v>
      </c>
      <c r="D8" s="3" t="s">
        <v>14</v>
      </c>
      <c r="E8" s="3">
        <v>2</v>
      </c>
      <c r="F8" s="3" t="s">
        <v>15</v>
      </c>
      <c r="G8" s="3" t="s">
        <v>201</v>
      </c>
      <c r="H8" s="3" t="s">
        <v>22</v>
      </c>
    </row>
    <row r="9" spans="1:8" ht="75" x14ac:dyDescent="0.25">
      <c r="A9" s="3" t="s">
        <v>23</v>
      </c>
      <c r="B9" s="3" t="s">
        <v>24</v>
      </c>
      <c r="C9" s="3" t="s">
        <v>25</v>
      </c>
      <c r="D9" s="3" t="s">
        <v>14</v>
      </c>
      <c r="E9" s="3">
        <v>2</v>
      </c>
      <c r="F9" s="3" t="s">
        <v>15</v>
      </c>
      <c r="G9" s="3" t="s">
        <v>201</v>
      </c>
      <c r="H9" s="3" t="s">
        <v>26</v>
      </c>
    </row>
    <row r="10" spans="1:8" ht="30" x14ac:dyDescent="0.25">
      <c r="A10" s="3" t="s">
        <v>27</v>
      </c>
      <c r="B10" s="3" t="s">
        <v>28</v>
      </c>
      <c r="C10" s="3" t="s">
        <v>29</v>
      </c>
      <c r="D10" s="3" t="s">
        <v>14</v>
      </c>
      <c r="E10" s="3">
        <v>2</v>
      </c>
      <c r="F10" s="3" t="s">
        <v>15</v>
      </c>
      <c r="G10" s="3" t="s">
        <v>201</v>
      </c>
      <c r="H10" s="3" t="s">
        <v>30</v>
      </c>
    </row>
    <row r="11" spans="1:8" ht="30" x14ac:dyDescent="0.25">
      <c r="A11" s="3" t="s">
        <v>31</v>
      </c>
      <c r="B11" s="3" t="s">
        <v>32</v>
      </c>
      <c r="C11" s="3" t="s">
        <v>33</v>
      </c>
      <c r="D11" s="3" t="s">
        <v>34</v>
      </c>
      <c r="E11" s="3" t="s">
        <v>35</v>
      </c>
      <c r="F11" s="3" t="s">
        <v>15</v>
      </c>
      <c r="G11" s="3" t="s">
        <v>201</v>
      </c>
      <c r="H11" s="3" t="s">
        <v>36</v>
      </c>
    </row>
    <row r="12" spans="1:8" x14ac:dyDescent="0.25">
      <c r="A12" s="45" t="s">
        <v>37</v>
      </c>
      <c r="B12" s="45"/>
      <c r="C12" s="45"/>
      <c r="D12" s="45"/>
      <c r="E12" s="45"/>
      <c r="F12" s="45"/>
      <c r="G12" s="45"/>
      <c r="H12" s="45"/>
    </row>
    <row r="13" spans="1:8" ht="30" x14ac:dyDescent="0.25">
      <c r="A13" s="3" t="s">
        <v>38</v>
      </c>
      <c r="B13" s="3" t="s">
        <v>39</v>
      </c>
      <c r="C13" s="3" t="s">
        <v>40</v>
      </c>
      <c r="D13" s="3" t="s">
        <v>14</v>
      </c>
      <c r="E13" s="3">
        <v>2</v>
      </c>
      <c r="F13" s="3" t="s">
        <v>41</v>
      </c>
      <c r="G13" s="3" t="s">
        <v>201</v>
      </c>
      <c r="H13" s="3" t="s">
        <v>42</v>
      </c>
    </row>
    <row r="14" spans="1:8" ht="45" x14ac:dyDescent="0.25">
      <c r="A14" s="3" t="s">
        <v>43</v>
      </c>
      <c r="B14" s="3" t="s">
        <v>44</v>
      </c>
      <c r="C14" s="3" t="s">
        <v>45</v>
      </c>
      <c r="D14" s="3" t="s">
        <v>14</v>
      </c>
      <c r="E14" s="3">
        <v>2</v>
      </c>
      <c r="F14" s="3" t="s">
        <v>41</v>
      </c>
      <c r="G14" s="3" t="s">
        <v>201</v>
      </c>
      <c r="H14" s="3" t="s">
        <v>46</v>
      </c>
    </row>
    <row r="15" spans="1:8" ht="45" x14ac:dyDescent="0.25">
      <c r="A15" s="3" t="s">
        <v>47</v>
      </c>
      <c r="B15" s="3" t="s">
        <v>48</v>
      </c>
      <c r="C15" s="3" t="s">
        <v>49</v>
      </c>
      <c r="D15" s="3" t="s">
        <v>14</v>
      </c>
      <c r="E15" s="3">
        <v>2</v>
      </c>
      <c r="F15" s="3" t="s">
        <v>41</v>
      </c>
      <c r="G15" s="3" t="s">
        <v>201</v>
      </c>
      <c r="H15" s="3" t="s">
        <v>50</v>
      </c>
    </row>
    <row r="16" spans="1:8" ht="60" x14ac:dyDescent="0.25">
      <c r="A16" s="3" t="s">
        <v>51</v>
      </c>
      <c r="B16" s="3" t="s">
        <v>52</v>
      </c>
      <c r="C16" s="3" t="s">
        <v>53</v>
      </c>
      <c r="D16" s="3" t="s">
        <v>54</v>
      </c>
      <c r="E16" s="3" t="s">
        <v>35</v>
      </c>
      <c r="F16" s="3" t="s">
        <v>41</v>
      </c>
      <c r="G16" s="3" t="s">
        <v>201</v>
      </c>
      <c r="H16" s="3" t="s">
        <v>55</v>
      </c>
    </row>
    <row r="17" spans="1:8" ht="30" x14ac:dyDescent="0.25">
      <c r="A17" s="3" t="s">
        <v>56</v>
      </c>
      <c r="B17" s="3" t="s">
        <v>57</v>
      </c>
      <c r="C17" s="3" t="s">
        <v>58</v>
      </c>
      <c r="D17" s="3" t="s">
        <v>54</v>
      </c>
      <c r="E17" s="3" t="s">
        <v>35</v>
      </c>
      <c r="F17" s="3" t="s">
        <v>41</v>
      </c>
      <c r="G17" s="3" t="s">
        <v>201</v>
      </c>
      <c r="H17" s="3" t="s">
        <v>59</v>
      </c>
    </row>
    <row r="18" spans="1:8" x14ac:dyDescent="0.25">
      <c r="A18" s="45" t="s">
        <v>60</v>
      </c>
      <c r="B18" s="45"/>
      <c r="C18" s="45"/>
      <c r="D18" s="45"/>
      <c r="E18" s="45"/>
      <c r="F18" s="45"/>
      <c r="G18" s="45"/>
      <c r="H18" s="45"/>
    </row>
    <row r="19" spans="1:8" ht="45" x14ac:dyDescent="0.25">
      <c r="A19" s="3" t="s">
        <v>61</v>
      </c>
      <c r="B19" s="3" t="s">
        <v>62</v>
      </c>
      <c r="C19" s="3" t="s">
        <v>63</v>
      </c>
      <c r="D19" s="3" t="s">
        <v>14</v>
      </c>
      <c r="E19" s="3">
        <v>2</v>
      </c>
      <c r="F19" s="3" t="s">
        <v>41</v>
      </c>
      <c r="G19" s="3" t="s">
        <v>201</v>
      </c>
      <c r="H19" s="3" t="s">
        <v>64</v>
      </c>
    </row>
    <row r="20" spans="1:8" ht="30" x14ac:dyDescent="0.25">
      <c r="A20" s="3" t="s">
        <v>65</v>
      </c>
      <c r="B20" s="3" t="s">
        <v>66</v>
      </c>
      <c r="C20" s="3" t="s">
        <v>67</v>
      </c>
      <c r="D20" s="3" t="s">
        <v>54</v>
      </c>
      <c r="E20" s="3" t="s">
        <v>35</v>
      </c>
      <c r="F20" s="3" t="s">
        <v>41</v>
      </c>
      <c r="G20" s="3" t="s">
        <v>201</v>
      </c>
      <c r="H20" s="3" t="s">
        <v>68</v>
      </c>
    </row>
    <row r="21" spans="1:8" ht="45" x14ac:dyDescent="0.25">
      <c r="A21" s="3" t="s">
        <v>69</v>
      </c>
      <c r="B21" s="3" t="s">
        <v>70</v>
      </c>
      <c r="C21" s="3" t="s">
        <v>71</v>
      </c>
      <c r="D21" s="3" t="s">
        <v>54</v>
      </c>
      <c r="E21" s="3" t="s">
        <v>35</v>
      </c>
      <c r="F21" s="3" t="s">
        <v>41</v>
      </c>
      <c r="G21" s="3" t="s">
        <v>201</v>
      </c>
      <c r="H21" s="3" t="s">
        <v>72</v>
      </c>
    </row>
    <row r="22" spans="1:8" x14ac:dyDescent="0.25">
      <c r="A22" s="45" t="s">
        <v>73</v>
      </c>
      <c r="B22" s="45"/>
      <c r="C22" s="45"/>
      <c r="D22" s="45"/>
      <c r="E22" s="45"/>
      <c r="F22" s="45"/>
      <c r="G22" s="45"/>
      <c r="H22" s="45"/>
    </row>
    <row r="23" spans="1:8" ht="30" x14ac:dyDescent="0.25">
      <c r="A23" s="3" t="s">
        <v>74</v>
      </c>
      <c r="B23" s="3" t="s">
        <v>75</v>
      </c>
      <c r="C23" s="3" t="s">
        <v>76</v>
      </c>
      <c r="D23" s="3" t="s">
        <v>14</v>
      </c>
      <c r="E23" s="3">
        <v>2</v>
      </c>
      <c r="F23" s="3" t="s">
        <v>77</v>
      </c>
      <c r="G23" s="3" t="s">
        <v>201</v>
      </c>
      <c r="H23" s="3" t="s">
        <v>78</v>
      </c>
    </row>
    <row r="24" spans="1:8" ht="30" x14ac:dyDescent="0.25">
      <c r="A24" s="3" t="s">
        <v>79</v>
      </c>
      <c r="B24" s="3" t="s">
        <v>80</v>
      </c>
      <c r="C24" s="3" t="s">
        <v>81</v>
      </c>
      <c r="D24" s="3" t="s">
        <v>14</v>
      </c>
      <c r="E24" s="3">
        <v>2</v>
      </c>
      <c r="F24" s="3" t="s">
        <v>77</v>
      </c>
      <c r="G24" s="3" t="s">
        <v>201</v>
      </c>
      <c r="H24" s="3" t="s">
        <v>82</v>
      </c>
    </row>
    <row r="25" spans="1:8" ht="30" x14ac:dyDescent="0.25">
      <c r="A25" s="3" t="s">
        <v>83</v>
      </c>
      <c r="B25" s="3" t="s">
        <v>84</v>
      </c>
      <c r="C25" s="3" t="s">
        <v>85</v>
      </c>
      <c r="D25" s="3" t="s">
        <v>34</v>
      </c>
      <c r="E25" s="3" t="s">
        <v>35</v>
      </c>
      <c r="F25" s="3" t="s">
        <v>77</v>
      </c>
      <c r="G25" s="3" t="s">
        <v>201</v>
      </c>
      <c r="H25" s="3" t="s">
        <v>86</v>
      </c>
    </row>
    <row r="26" spans="1:8" x14ac:dyDescent="0.25">
      <c r="A26" s="45" t="s">
        <v>87</v>
      </c>
      <c r="B26" s="45"/>
      <c r="C26" s="45"/>
      <c r="D26" s="45"/>
      <c r="E26" s="45"/>
      <c r="F26" s="45"/>
      <c r="G26" s="45"/>
      <c r="H26" s="45"/>
    </row>
    <row r="27" spans="1:8" ht="60" x14ac:dyDescent="0.25">
      <c r="A27" s="3" t="s">
        <v>88</v>
      </c>
      <c r="B27" s="3" t="s">
        <v>89</v>
      </c>
      <c r="C27" s="3" t="s">
        <v>90</v>
      </c>
      <c r="D27" s="3" t="s">
        <v>14</v>
      </c>
      <c r="E27" s="3">
        <v>2</v>
      </c>
      <c r="F27" s="3" t="s">
        <v>91</v>
      </c>
      <c r="G27" s="3" t="s">
        <v>201</v>
      </c>
      <c r="H27" s="3" t="s">
        <v>92</v>
      </c>
    </row>
    <row r="28" spans="1:8" ht="45" x14ac:dyDescent="0.25">
      <c r="A28" s="3" t="s">
        <v>93</v>
      </c>
      <c r="B28" s="3" t="s">
        <v>94</v>
      </c>
      <c r="C28" s="3" t="s">
        <v>95</v>
      </c>
      <c r="D28" s="3" t="s">
        <v>96</v>
      </c>
      <c r="E28" s="3">
        <v>1</v>
      </c>
      <c r="F28" s="3" t="s">
        <v>91</v>
      </c>
      <c r="G28" s="3" t="s">
        <v>201</v>
      </c>
      <c r="H28" s="3" t="s">
        <v>97</v>
      </c>
    </row>
    <row r="29" spans="1:8" ht="45" x14ac:dyDescent="0.25">
      <c r="A29" s="3" t="s">
        <v>98</v>
      </c>
      <c r="B29" s="3" t="s">
        <v>99</v>
      </c>
      <c r="C29" s="3" t="s">
        <v>100</v>
      </c>
      <c r="D29" s="3" t="s">
        <v>14</v>
      </c>
      <c r="E29" s="3">
        <v>2</v>
      </c>
      <c r="F29" s="3" t="s">
        <v>91</v>
      </c>
      <c r="G29" s="3" t="s">
        <v>201</v>
      </c>
      <c r="H29" s="3" t="s">
        <v>101</v>
      </c>
    </row>
    <row r="30" spans="1:8" ht="45" x14ac:dyDescent="0.25">
      <c r="A30" s="3" t="s">
        <v>102</v>
      </c>
      <c r="B30" s="3" t="s">
        <v>103</v>
      </c>
      <c r="C30" s="3" t="s">
        <v>104</v>
      </c>
      <c r="D30" s="3" t="s">
        <v>14</v>
      </c>
      <c r="E30" s="3">
        <v>2</v>
      </c>
      <c r="F30" s="3" t="s">
        <v>91</v>
      </c>
      <c r="G30" s="3" t="s">
        <v>201</v>
      </c>
      <c r="H30" s="3" t="s">
        <v>105</v>
      </c>
    </row>
    <row r="31" spans="1:8" ht="45" x14ac:dyDescent="0.25">
      <c r="A31" s="3" t="s">
        <v>106</v>
      </c>
      <c r="B31" s="3" t="s">
        <v>107</v>
      </c>
      <c r="C31" s="3" t="s">
        <v>71</v>
      </c>
      <c r="D31" s="3" t="s">
        <v>54</v>
      </c>
      <c r="E31" s="3" t="s">
        <v>35</v>
      </c>
      <c r="F31" s="3" t="s">
        <v>91</v>
      </c>
      <c r="G31" s="3" t="s">
        <v>201</v>
      </c>
      <c r="H31" s="3" t="s">
        <v>108</v>
      </c>
    </row>
    <row r="32" spans="1:8" x14ac:dyDescent="0.25">
      <c r="A32" s="45" t="s">
        <v>109</v>
      </c>
      <c r="B32" s="45"/>
      <c r="C32" s="45"/>
      <c r="D32" s="45"/>
      <c r="E32" s="45"/>
      <c r="F32" s="45"/>
      <c r="G32" s="45"/>
      <c r="H32" s="45"/>
    </row>
    <row r="33" spans="1:8" ht="45" x14ac:dyDescent="0.25">
      <c r="A33" s="3" t="s">
        <v>110</v>
      </c>
      <c r="B33" s="3" t="s">
        <v>111</v>
      </c>
      <c r="C33" s="3" t="s">
        <v>112</v>
      </c>
      <c r="D33" s="3" t="s">
        <v>14</v>
      </c>
      <c r="E33" s="3">
        <v>2</v>
      </c>
      <c r="F33" s="3" t="s">
        <v>113</v>
      </c>
      <c r="G33" s="3" t="s">
        <v>201</v>
      </c>
      <c r="H33" s="3" t="s">
        <v>114</v>
      </c>
    </row>
    <row r="34" spans="1:8" ht="45" x14ac:dyDescent="0.25">
      <c r="A34" s="3" t="s">
        <v>115</v>
      </c>
      <c r="B34" s="3" t="s">
        <v>116</v>
      </c>
      <c r="C34" s="3" t="s">
        <v>117</v>
      </c>
      <c r="D34" s="3" t="s">
        <v>96</v>
      </c>
      <c r="E34" s="3">
        <v>1</v>
      </c>
      <c r="F34" s="3" t="s">
        <v>113</v>
      </c>
      <c r="G34" s="3" t="s">
        <v>201</v>
      </c>
      <c r="H34" s="3" t="s">
        <v>118</v>
      </c>
    </row>
    <row r="35" spans="1:8" ht="45" x14ac:dyDescent="0.25">
      <c r="A35" s="3" t="s">
        <v>119</v>
      </c>
      <c r="B35" s="3" t="s">
        <v>120</v>
      </c>
      <c r="C35" s="3" t="s">
        <v>121</v>
      </c>
      <c r="D35" s="3" t="s">
        <v>14</v>
      </c>
      <c r="E35" s="3">
        <v>2</v>
      </c>
      <c r="F35" s="3" t="s">
        <v>113</v>
      </c>
      <c r="G35" s="3" t="s">
        <v>201</v>
      </c>
      <c r="H35" s="3" t="s">
        <v>122</v>
      </c>
    </row>
    <row r="36" spans="1:8" ht="60" x14ac:dyDescent="0.25">
      <c r="A36" s="3" t="s">
        <v>123</v>
      </c>
      <c r="B36" s="3" t="s">
        <v>124</v>
      </c>
      <c r="C36" s="3" t="s">
        <v>125</v>
      </c>
      <c r="D36" s="3" t="s">
        <v>14</v>
      </c>
      <c r="E36" s="3">
        <v>2</v>
      </c>
      <c r="F36" s="3" t="s">
        <v>113</v>
      </c>
      <c r="G36" s="3" t="s">
        <v>16</v>
      </c>
      <c r="H36" s="3" t="s">
        <v>126</v>
      </c>
    </row>
    <row r="37" spans="1:8" ht="45" x14ac:dyDescent="0.25">
      <c r="A37" s="3" t="s">
        <v>127</v>
      </c>
      <c r="B37" s="3" t="s">
        <v>128</v>
      </c>
      <c r="C37" s="3" t="s">
        <v>129</v>
      </c>
      <c r="D37" s="3" t="s">
        <v>14</v>
      </c>
      <c r="E37" s="3">
        <v>2</v>
      </c>
      <c r="F37" s="3" t="s">
        <v>113</v>
      </c>
      <c r="G37" s="3" t="s">
        <v>201</v>
      </c>
      <c r="H37" s="3" t="s">
        <v>130</v>
      </c>
    </row>
  </sheetData>
  <mergeCells count="8">
    <mergeCell ref="A26:H26"/>
    <mergeCell ref="A32:H32"/>
    <mergeCell ref="A2:H2"/>
    <mergeCell ref="A5:H5"/>
    <mergeCell ref="A7:H7"/>
    <mergeCell ref="A12:H12"/>
    <mergeCell ref="A18:H18"/>
    <mergeCell ref="A22:H22"/>
  </mergeCells>
  <pageMargins left="0.7" right="0.7" top="0.78740157499999996" bottom="0.78740157499999996" header="0.3" footer="0.3"/>
  <pageSetup paperSize="9"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193E-8C1A-491F-9635-4C898A3492BF}">
  <sheetPr>
    <pageSetUpPr fitToPage="1"/>
  </sheetPr>
  <dimension ref="A1:J55"/>
  <sheetViews>
    <sheetView topLeftCell="A36" workbookViewId="0">
      <selection activeCell="B54" sqref="B54:J54"/>
    </sheetView>
  </sheetViews>
  <sheetFormatPr baseColWidth="10" defaultRowHeight="15" x14ac:dyDescent="0.25"/>
  <cols>
    <col min="1" max="1" width="39.5703125" style="19" bestFit="1" customWidth="1"/>
    <col min="2" max="2" width="12" style="19" customWidth="1"/>
    <col min="3" max="3" width="60" style="19" customWidth="1"/>
    <col min="4" max="4" width="8.42578125" style="19" bestFit="1" customWidth="1"/>
    <col min="5" max="5" width="13" style="19" bestFit="1" customWidth="1"/>
    <col min="6" max="6" width="11" style="19" bestFit="1" customWidth="1"/>
    <col min="7" max="7" width="9.42578125" style="19" bestFit="1" customWidth="1"/>
    <col min="8" max="8" width="8.42578125" style="19" bestFit="1" customWidth="1"/>
    <col min="9" max="9" width="57.28515625" style="19" customWidth="1"/>
    <col min="10" max="10" width="22.7109375" style="19" bestFit="1" customWidth="1"/>
    <col min="11" max="16384" width="11.42578125" style="19"/>
  </cols>
  <sheetData>
    <row r="1" spans="1:10" ht="18.75" x14ac:dyDescent="0.25">
      <c r="A1" s="18" t="s">
        <v>131</v>
      </c>
    </row>
    <row r="3" spans="1:10" x14ac:dyDescent="0.25">
      <c r="F3" s="52" t="s">
        <v>132</v>
      </c>
      <c r="G3" s="50"/>
      <c r="H3" s="50"/>
      <c r="I3" s="50"/>
      <c r="J3" s="50"/>
    </row>
    <row r="4" spans="1:10" ht="30" x14ac:dyDescent="0.25">
      <c r="A4" s="20" t="s">
        <v>2</v>
      </c>
      <c r="B4" s="20" t="s">
        <v>5</v>
      </c>
      <c r="C4" s="20" t="s">
        <v>133</v>
      </c>
      <c r="D4" s="20" t="s">
        <v>134</v>
      </c>
      <c r="E4" s="20" t="s">
        <v>475</v>
      </c>
      <c r="F4" s="20" t="s">
        <v>518</v>
      </c>
      <c r="G4" s="20" t="s">
        <v>517</v>
      </c>
      <c r="H4" s="20" t="s">
        <v>136</v>
      </c>
      <c r="I4" s="20" t="s">
        <v>137</v>
      </c>
      <c r="J4" s="20" t="s">
        <v>138</v>
      </c>
    </row>
    <row r="5" spans="1:10" x14ac:dyDescent="0.25">
      <c r="A5" s="21" t="s">
        <v>10</v>
      </c>
      <c r="B5" s="22"/>
      <c r="C5" s="22"/>
      <c r="D5" s="22"/>
      <c r="E5" s="22"/>
      <c r="F5" s="22"/>
      <c r="G5" s="22"/>
      <c r="H5" s="22"/>
      <c r="I5" s="22"/>
      <c r="J5" s="22"/>
    </row>
    <row r="6" spans="1:10" ht="105" x14ac:dyDescent="0.25">
      <c r="A6" s="23" t="s">
        <v>11</v>
      </c>
      <c r="B6" s="23" t="s">
        <v>14</v>
      </c>
      <c r="C6" s="23" t="s">
        <v>139</v>
      </c>
      <c r="D6" s="23">
        <v>2</v>
      </c>
      <c r="E6" s="23" t="s">
        <v>140</v>
      </c>
      <c r="F6" s="24" t="s">
        <v>35</v>
      </c>
      <c r="G6" s="25">
        <v>2</v>
      </c>
      <c r="H6" s="26">
        <v>2</v>
      </c>
      <c r="I6" s="23"/>
      <c r="J6" s="27"/>
    </row>
    <row r="7" spans="1:10" x14ac:dyDescent="0.25">
      <c r="A7" s="21" t="s">
        <v>18</v>
      </c>
      <c r="B7" s="22"/>
      <c r="C7" s="22"/>
      <c r="D7" s="22"/>
      <c r="E7" s="22"/>
      <c r="F7" s="22"/>
      <c r="G7" s="22"/>
      <c r="H7" s="22"/>
      <c r="I7" s="22"/>
      <c r="J7" s="22"/>
    </row>
    <row r="8" spans="1:10" ht="120" x14ac:dyDescent="0.25">
      <c r="A8" s="23" t="s">
        <v>19</v>
      </c>
      <c r="B8" s="23" t="s">
        <v>14</v>
      </c>
      <c r="C8" s="23" t="s">
        <v>141</v>
      </c>
      <c r="D8" s="23">
        <v>2</v>
      </c>
      <c r="E8" s="23" t="s">
        <v>142</v>
      </c>
      <c r="F8" s="24">
        <v>1</v>
      </c>
      <c r="G8" s="25">
        <v>1</v>
      </c>
      <c r="H8" s="26">
        <v>1</v>
      </c>
      <c r="I8" s="23" t="s">
        <v>143</v>
      </c>
      <c r="J8" s="27" t="s">
        <v>144</v>
      </c>
    </row>
    <row r="9" spans="1:10" ht="120" x14ac:dyDescent="0.25">
      <c r="A9" s="23" t="s">
        <v>23</v>
      </c>
      <c r="B9" s="23" t="s">
        <v>14</v>
      </c>
      <c r="C9" s="23" t="s">
        <v>145</v>
      </c>
      <c r="D9" s="23">
        <v>2</v>
      </c>
      <c r="E9" s="23" t="s">
        <v>142</v>
      </c>
      <c r="F9" s="24">
        <v>0</v>
      </c>
      <c r="G9" s="25">
        <v>0</v>
      </c>
      <c r="H9" s="26">
        <v>0</v>
      </c>
      <c r="I9" s="23" t="s">
        <v>146</v>
      </c>
      <c r="J9" s="27" t="s">
        <v>144</v>
      </c>
    </row>
    <row r="10" spans="1:10" ht="75" x14ac:dyDescent="0.25">
      <c r="A10" s="23" t="s">
        <v>27</v>
      </c>
      <c r="B10" s="23" t="s">
        <v>14</v>
      </c>
      <c r="C10" s="23" t="s">
        <v>147</v>
      </c>
      <c r="D10" s="23">
        <v>2</v>
      </c>
      <c r="E10" s="23" t="s">
        <v>142</v>
      </c>
      <c r="F10" s="24">
        <v>0</v>
      </c>
      <c r="G10" s="25">
        <v>0</v>
      </c>
      <c r="H10" s="26">
        <v>0</v>
      </c>
      <c r="I10" s="23" t="s">
        <v>148</v>
      </c>
      <c r="J10" s="27" t="s">
        <v>144</v>
      </c>
    </row>
    <row r="11" spans="1:10" ht="75" x14ac:dyDescent="0.25">
      <c r="A11" s="23" t="s">
        <v>31</v>
      </c>
      <c r="B11" s="23" t="s">
        <v>34</v>
      </c>
      <c r="C11" s="23" t="s">
        <v>149</v>
      </c>
      <c r="D11" s="23" t="s">
        <v>35</v>
      </c>
      <c r="E11" s="23" t="s">
        <v>140</v>
      </c>
      <c r="F11" s="28">
        <v>0.5</v>
      </c>
      <c r="G11" s="29">
        <v>0.57140000000000002</v>
      </c>
      <c r="H11" s="30">
        <v>0.57140000000000002</v>
      </c>
      <c r="I11" s="23" t="s">
        <v>150</v>
      </c>
      <c r="J11" s="27" t="s">
        <v>144</v>
      </c>
    </row>
    <row r="12" spans="1:10" x14ac:dyDescent="0.25">
      <c r="A12" s="21" t="s">
        <v>37</v>
      </c>
      <c r="B12" s="22"/>
      <c r="C12" s="22"/>
      <c r="D12" s="22"/>
      <c r="E12" s="22"/>
      <c r="F12" s="22"/>
      <c r="G12" s="22"/>
      <c r="H12" s="22"/>
      <c r="I12" s="22"/>
      <c r="J12" s="22"/>
    </row>
    <row r="13" spans="1:10" ht="45" x14ac:dyDescent="0.25">
      <c r="A13" s="23" t="s">
        <v>38</v>
      </c>
      <c r="B13" s="23" t="s">
        <v>14</v>
      </c>
      <c r="C13" s="23" t="s">
        <v>151</v>
      </c>
      <c r="D13" s="23">
        <v>2</v>
      </c>
      <c r="E13" s="23" t="s">
        <v>142</v>
      </c>
      <c r="F13" s="24">
        <v>0</v>
      </c>
      <c r="G13" s="25">
        <v>0</v>
      </c>
      <c r="H13" s="26">
        <v>0</v>
      </c>
      <c r="I13" s="23" t="s">
        <v>152</v>
      </c>
      <c r="J13" s="27" t="s">
        <v>144</v>
      </c>
    </row>
    <row r="14" spans="1:10" ht="90" x14ac:dyDescent="0.25">
      <c r="A14" s="23" t="s">
        <v>43</v>
      </c>
      <c r="B14" s="23" t="s">
        <v>14</v>
      </c>
      <c r="C14" s="23" t="s">
        <v>153</v>
      </c>
      <c r="D14" s="23">
        <v>2</v>
      </c>
      <c r="E14" s="23" t="s">
        <v>142</v>
      </c>
      <c r="F14" s="24">
        <v>0</v>
      </c>
      <c r="G14" s="25">
        <v>0</v>
      </c>
      <c r="H14" s="26">
        <v>0</v>
      </c>
      <c r="I14" s="23"/>
      <c r="J14" s="27" t="s">
        <v>144</v>
      </c>
    </row>
    <row r="15" spans="1:10" ht="90" x14ac:dyDescent="0.25">
      <c r="A15" s="23" t="s">
        <v>47</v>
      </c>
      <c r="B15" s="23" t="s">
        <v>14</v>
      </c>
      <c r="C15" s="23" t="s">
        <v>154</v>
      </c>
      <c r="D15" s="23">
        <v>2</v>
      </c>
      <c r="E15" s="23" t="s">
        <v>142</v>
      </c>
      <c r="F15" s="24">
        <v>0</v>
      </c>
      <c r="G15" s="25">
        <v>0</v>
      </c>
      <c r="H15" s="26">
        <v>0</v>
      </c>
      <c r="I15" s="23" t="s">
        <v>155</v>
      </c>
      <c r="J15" s="27" t="s">
        <v>144</v>
      </c>
    </row>
    <row r="16" spans="1:10" ht="105" x14ac:dyDescent="0.25">
      <c r="A16" s="23" t="s">
        <v>51</v>
      </c>
      <c r="B16" s="23" t="s">
        <v>54</v>
      </c>
      <c r="C16" s="23" t="s">
        <v>156</v>
      </c>
      <c r="D16" s="23" t="s">
        <v>35</v>
      </c>
      <c r="E16" s="23" t="s">
        <v>142</v>
      </c>
      <c r="F16" s="24" t="s">
        <v>157</v>
      </c>
      <c r="G16" s="25">
        <v>0</v>
      </c>
      <c r="H16" s="26">
        <v>0</v>
      </c>
      <c r="I16" s="23" t="s">
        <v>158</v>
      </c>
      <c r="J16" s="27" t="s">
        <v>144</v>
      </c>
    </row>
    <row r="17" spans="1:10" ht="135" x14ac:dyDescent="0.25">
      <c r="A17" s="23" t="s">
        <v>56</v>
      </c>
      <c r="B17" s="23" t="s">
        <v>54</v>
      </c>
      <c r="C17" s="23" t="s">
        <v>159</v>
      </c>
      <c r="D17" s="23" t="s">
        <v>35</v>
      </c>
      <c r="E17" s="23" t="s">
        <v>142</v>
      </c>
      <c r="F17" s="24">
        <v>0</v>
      </c>
      <c r="G17" s="25">
        <v>0</v>
      </c>
      <c r="H17" s="26">
        <v>0</v>
      </c>
      <c r="I17" s="23" t="s">
        <v>160</v>
      </c>
      <c r="J17" s="27" t="s">
        <v>144</v>
      </c>
    </row>
    <row r="18" spans="1:10" x14ac:dyDescent="0.25">
      <c r="A18" s="21" t="s">
        <v>60</v>
      </c>
      <c r="B18" s="22"/>
      <c r="C18" s="22"/>
      <c r="D18" s="22"/>
      <c r="E18" s="22"/>
      <c r="F18" s="22"/>
      <c r="G18" s="22"/>
      <c r="H18" s="22"/>
      <c r="I18" s="22"/>
      <c r="J18" s="22"/>
    </row>
    <row r="19" spans="1:10" ht="90" x14ac:dyDescent="0.25">
      <c r="A19" s="23" t="s">
        <v>61</v>
      </c>
      <c r="B19" s="23" t="s">
        <v>14</v>
      </c>
      <c r="C19" s="23" t="s">
        <v>161</v>
      </c>
      <c r="D19" s="23">
        <v>2</v>
      </c>
      <c r="E19" s="23" t="s">
        <v>142</v>
      </c>
      <c r="F19" s="24">
        <v>1</v>
      </c>
      <c r="G19" s="25">
        <v>1</v>
      </c>
      <c r="H19" s="26">
        <v>1</v>
      </c>
      <c r="I19" s="23" t="s">
        <v>162</v>
      </c>
      <c r="J19" s="27" t="s">
        <v>144</v>
      </c>
    </row>
    <row r="20" spans="1:10" ht="75" x14ac:dyDescent="0.25">
      <c r="A20" s="23" t="s">
        <v>65</v>
      </c>
      <c r="B20" s="23" t="s">
        <v>54</v>
      </c>
      <c r="C20" s="23" t="s">
        <v>163</v>
      </c>
      <c r="D20" s="23" t="s">
        <v>35</v>
      </c>
      <c r="E20" s="23" t="s">
        <v>142</v>
      </c>
      <c r="F20" s="24">
        <v>1</v>
      </c>
      <c r="G20" s="25">
        <v>1</v>
      </c>
      <c r="H20" s="26">
        <v>1</v>
      </c>
      <c r="I20" s="23" t="s">
        <v>164</v>
      </c>
      <c r="J20" s="27" t="s">
        <v>144</v>
      </c>
    </row>
    <row r="21" spans="1:10" ht="75" x14ac:dyDescent="0.25">
      <c r="A21" s="23" t="s">
        <v>69</v>
      </c>
      <c r="B21" s="23" t="s">
        <v>54</v>
      </c>
      <c r="C21" s="23" t="s">
        <v>165</v>
      </c>
      <c r="D21" s="23" t="s">
        <v>35</v>
      </c>
      <c r="E21" s="23" t="s">
        <v>142</v>
      </c>
      <c r="F21" s="24">
        <v>0</v>
      </c>
      <c r="G21" s="25"/>
      <c r="H21" s="26">
        <v>0</v>
      </c>
      <c r="I21" s="23" t="s">
        <v>166</v>
      </c>
      <c r="J21" s="27" t="s">
        <v>144</v>
      </c>
    </row>
    <row r="22" spans="1:10" x14ac:dyDescent="0.25">
      <c r="A22" s="21" t="s">
        <v>73</v>
      </c>
      <c r="B22" s="22"/>
      <c r="C22" s="22"/>
      <c r="D22" s="22"/>
      <c r="E22" s="22"/>
      <c r="F22" s="22"/>
      <c r="G22" s="22"/>
      <c r="H22" s="22"/>
      <c r="I22" s="22"/>
      <c r="J22" s="22"/>
    </row>
    <row r="23" spans="1:10" ht="75" x14ac:dyDescent="0.25">
      <c r="A23" s="23" t="s">
        <v>74</v>
      </c>
      <c r="B23" s="23" t="s">
        <v>14</v>
      </c>
      <c r="C23" s="23" t="s">
        <v>167</v>
      </c>
      <c r="D23" s="23">
        <v>2</v>
      </c>
      <c r="E23" s="23" t="s">
        <v>142</v>
      </c>
      <c r="F23" s="24">
        <v>2</v>
      </c>
      <c r="G23" s="25">
        <v>0</v>
      </c>
      <c r="H23" s="26">
        <v>0</v>
      </c>
      <c r="I23" s="23" t="s">
        <v>168</v>
      </c>
      <c r="J23" s="27" t="s">
        <v>144</v>
      </c>
    </row>
    <row r="24" spans="1:10" ht="75" x14ac:dyDescent="0.25">
      <c r="A24" s="23" t="s">
        <v>79</v>
      </c>
      <c r="B24" s="23" t="s">
        <v>14</v>
      </c>
      <c r="C24" s="23" t="s">
        <v>169</v>
      </c>
      <c r="D24" s="23">
        <v>2</v>
      </c>
      <c r="E24" s="23" t="s">
        <v>142</v>
      </c>
      <c r="F24" s="24">
        <v>1</v>
      </c>
      <c r="G24" s="25"/>
      <c r="H24" s="26">
        <v>1</v>
      </c>
      <c r="I24" s="23" t="s">
        <v>170</v>
      </c>
      <c r="J24" s="27" t="s">
        <v>144</v>
      </c>
    </row>
    <row r="25" spans="1:10" ht="75" x14ac:dyDescent="0.25">
      <c r="A25" s="23" t="s">
        <v>83</v>
      </c>
      <c r="B25" s="23" t="s">
        <v>34</v>
      </c>
      <c r="C25" s="23" t="s">
        <v>171</v>
      </c>
      <c r="D25" s="23" t="s">
        <v>35</v>
      </c>
      <c r="E25" s="23" t="s">
        <v>140</v>
      </c>
      <c r="F25" s="28" t="s">
        <v>157</v>
      </c>
      <c r="G25" s="29"/>
      <c r="H25" s="30" t="s">
        <v>157</v>
      </c>
      <c r="I25" s="23" t="s">
        <v>172</v>
      </c>
      <c r="J25" s="27" t="s">
        <v>144</v>
      </c>
    </row>
    <row r="26" spans="1:10" x14ac:dyDescent="0.25">
      <c r="A26" s="21" t="s">
        <v>87</v>
      </c>
      <c r="B26" s="22"/>
      <c r="C26" s="22"/>
      <c r="D26" s="22"/>
      <c r="E26" s="22"/>
      <c r="F26" s="22"/>
      <c r="G26" s="22"/>
      <c r="H26" s="22"/>
      <c r="I26" s="22"/>
      <c r="J26" s="22"/>
    </row>
    <row r="27" spans="1:10" ht="75" x14ac:dyDescent="0.25">
      <c r="A27" s="23" t="s">
        <v>88</v>
      </c>
      <c r="B27" s="23" t="s">
        <v>14</v>
      </c>
      <c r="C27" s="23" t="s">
        <v>173</v>
      </c>
      <c r="D27" s="23">
        <v>2</v>
      </c>
      <c r="E27" s="23" t="s">
        <v>142</v>
      </c>
      <c r="F27" s="24">
        <v>1</v>
      </c>
      <c r="G27" s="25">
        <v>1</v>
      </c>
      <c r="H27" s="26">
        <v>1</v>
      </c>
      <c r="I27" s="23" t="s">
        <v>174</v>
      </c>
      <c r="J27" s="27" t="s">
        <v>144</v>
      </c>
    </row>
    <row r="28" spans="1:10" ht="105" x14ac:dyDescent="0.25">
      <c r="A28" s="23" t="s">
        <v>93</v>
      </c>
      <c r="B28" s="23" t="s">
        <v>96</v>
      </c>
      <c r="C28" s="23" t="s">
        <v>175</v>
      </c>
      <c r="D28" s="23">
        <v>1</v>
      </c>
      <c r="E28" s="23" t="s">
        <v>142</v>
      </c>
      <c r="F28" s="24">
        <v>0</v>
      </c>
      <c r="G28" s="25"/>
      <c r="H28" s="26">
        <v>0</v>
      </c>
      <c r="I28" s="23" t="s">
        <v>176</v>
      </c>
      <c r="J28" s="27" t="s">
        <v>144</v>
      </c>
    </row>
    <row r="29" spans="1:10" ht="60" x14ac:dyDescent="0.25">
      <c r="A29" s="23" t="s">
        <v>98</v>
      </c>
      <c r="B29" s="23" t="s">
        <v>14</v>
      </c>
      <c r="C29" s="23" t="s">
        <v>177</v>
      </c>
      <c r="D29" s="23">
        <v>2</v>
      </c>
      <c r="E29" s="23" t="s">
        <v>142</v>
      </c>
      <c r="F29" s="24">
        <v>1</v>
      </c>
      <c r="G29" s="25"/>
      <c r="H29" s="26">
        <v>1</v>
      </c>
      <c r="I29" s="23" t="s">
        <v>178</v>
      </c>
      <c r="J29" s="27" t="s">
        <v>144</v>
      </c>
    </row>
    <row r="30" spans="1:10" ht="75" x14ac:dyDescent="0.25">
      <c r="A30" s="23" t="s">
        <v>102</v>
      </c>
      <c r="B30" s="23" t="s">
        <v>14</v>
      </c>
      <c r="C30" s="23" t="s">
        <v>179</v>
      </c>
      <c r="D30" s="23">
        <v>2</v>
      </c>
      <c r="E30" s="23" t="s">
        <v>142</v>
      </c>
      <c r="F30" s="24">
        <v>1</v>
      </c>
      <c r="G30" s="25"/>
      <c r="H30" s="26">
        <v>1</v>
      </c>
      <c r="I30" s="23" t="s">
        <v>180</v>
      </c>
      <c r="J30" s="27" t="s">
        <v>144</v>
      </c>
    </row>
    <row r="31" spans="1:10" ht="75" x14ac:dyDescent="0.25">
      <c r="A31" s="23" t="s">
        <v>106</v>
      </c>
      <c r="B31" s="23" t="s">
        <v>54</v>
      </c>
      <c r="C31" s="23" t="s">
        <v>181</v>
      </c>
      <c r="D31" s="23" t="s">
        <v>35</v>
      </c>
      <c r="E31" s="23" t="s">
        <v>142</v>
      </c>
      <c r="F31" s="24">
        <v>0</v>
      </c>
      <c r="G31" s="25"/>
      <c r="H31" s="26">
        <v>0</v>
      </c>
      <c r="I31" s="23" t="s">
        <v>182</v>
      </c>
      <c r="J31" s="27" t="s">
        <v>144</v>
      </c>
    </row>
    <row r="32" spans="1:10" x14ac:dyDescent="0.25">
      <c r="A32" s="21" t="s">
        <v>109</v>
      </c>
      <c r="B32" s="22"/>
      <c r="C32" s="22"/>
      <c r="D32" s="22"/>
      <c r="E32" s="22"/>
      <c r="F32" s="22"/>
      <c r="G32" s="22"/>
      <c r="H32" s="22"/>
      <c r="I32" s="22"/>
      <c r="J32" s="22"/>
    </row>
    <row r="33" spans="1:10" ht="90" x14ac:dyDescent="0.25">
      <c r="A33" s="23" t="s">
        <v>110</v>
      </c>
      <c r="B33" s="23" t="s">
        <v>14</v>
      </c>
      <c r="C33" s="23" t="s">
        <v>183</v>
      </c>
      <c r="D33" s="23">
        <v>2</v>
      </c>
      <c r="E33" s="23" t="s">
        <v>142</v>
      </c>
      <c r="F33" s="24">
        <v>0</v>
      </c>
      <c r="G33" s="25"/>
      <c r="H33" s="26">
        <v>0</v>
      </c>
      <c r="I33" s="23" t="s">
        <v>184</v>
      </c>
      <c r="J33" s="27" t="s">
        <v>144</v>
      </c>
    </row>
    <row r="34" spans="1:10" ht="90" x14ac:dyDescent="0.25">
      <c r="A34" s="23" t="s">
        <v>115</v>
      </c>
      <c r="B34" s="23" t="s">
        <v>96</v>
      </c>
      <c r="C34" s="23" t="s">
        <v>185</v>
      </c>
      <c r="D34" s="23">
        <v>1</v>
      </c>
      <c r="E34" s="23" t="s">
        <v>142</v>
      </c>
      <c r="F34" s="24">
        <v>0</v>
      </c>
      <c r="G34" s="25"/>
      <c r="H34" s="26">
        <v>0</v>
      </c>
      <c r="I34" s="23" t="s">
        <v>186</v>
      </c>
      <c r="J34" s="27" t="s">
        <v>144</v>
      </c>
    </row>
    <row r="35" spans="1:10" ht="120" x14ac:dyDescent="0.25">
      <c r="A35" s="23" t="s">
        <v>119</v>
      </c>
      <c r="B35" s="23" t="s">
        <v>14</v>
      </c>
      <c r="C35" s="23" t="s">
        <v>187</v>
      </c>
      <c r="D35" s="23">
        <v>2</v>
      </c>
      <c r="E35" s="23" t="s">
        <v>142</v>
      </c>
      <c r="F35" s="24">
        <v>0</v>
      </c>
      <c r="G35" s="25"/>
      <c r="H35" s="26">
        <v>0</v>
      </c>
      <c r="I35" s="23" t="s">
        <v>188</v>
      </c>
      <c r="J35" s="27" t="s">
        <v>144</v>
      </c>
    </row>
    <row r="36" spans="1:10" ht="105" x14ac:dyDescent="0.25">
      <c r="A36" s="23" t="s">
        <v>123</v>
      </c>
      <c r="B36" s="23" t="s">
        <v>14</v>
      </c>
      <c r="C36" s="23" t="s">
        <v>542</v>
      </c>
      <c r="D36" s="23">
        <v>2</v>
      </c>
      <c r="E36" s="23" t="s">
        <v>140</v>
      </c>
      <c r="F36" s="24" t="s">
        <v>35</v>
      </c>
      <c r="G36" s="25">
        <v>2</v>
      </c>
      <c r="H36" s="26">
        <v>2</v>
      </c>
      <c r="I36" s="23" t="s">
        <v>190</v>
      </c>
      <c r="J36" s="27"/>
    </row>
    <row r="37" spans="1:10" ht="60" x14ac:dyDescent="0.25">
      <c r="A37" s="23" t="s">
        <v>127</v>
      </c>
      <c r="B37" s="23" t="s">
        <v>14</v>
      </c>
      <c r="C37" s="23" t="s">
        <v>191</v>
      </c>
      <c r="D37" s="23">
        <v>2</v>
      </c>
      <c r="E37" s="23" t="s">
        <v>142</v>
      </c>
      <c r="F37" s="24">
        <v>2</v>
      </c>
      <c r="G37" s="25"/>
      <c r="H37" s="26">
        <v>2</v>
      </c>
      <c r="I37" s="23" t="s">
        <v>192</v>
      </c>
      <c r="J37" s="27"/>
    </row>
    <row r="38" spans="1:10" x14ac:dyDescent="0.25">
      <c r="C38" s="31" t="s">
        <v>193</v>
      </c>
    </row>
    <row r="39" spans="1:10" x14ac:dyDescent="0.25">
      <c r="C39" s="31" t="s">
        <v>194</v>
      </c>
      <c r="H39" s="32">
        <f>SUMPRODUCT(--(LEFT($B$5:$B$37,7)="Pflicht"))</f>
        <v>19</v>
      </c>
    </row>
    <row r="40" spans="1:10" x14ac:dyDescent="0.25">
      <c r="C40" s="31" t="s">
        <v>195</v>
      </c>
      <c r="H40" s="32">
        <f>SUMPRODUCT((LEFT($B$5:$B$37,7)="Pflicht")*ISNUMBER(H$5:H$37)*(H$5:H$37&gt;=$D$5:$D$37))</f>
        <v>3</v>
      </c>
    </row>
    <row r="41" spans="1:10" x14ac:dyDescent="0.25">
      <c r="C41" s="31" t="s">
        <v>196</v>
      </c>
      <c r="H41" s="32" t="str">
        <f>IF(SUMPRODUCT((LEFT($B$5:$B$37,7)="Pflicht")*(H$5:H$37=""))&gt;0,"noch offen",IF(H40=H39,"ja","nein"))</f>
        <v>nein</v>
      </c>
    </row>
    <row r="43" spans="1:10" x14ac:dyDescent="0.25">
      <c r="A43" s="31" t="s">
        <v>197</v>
      </c>
    </row>
    <row r="44" spans="1:10" x14ac:dyDescent="0.25">
      <c r="A44" s="49" t="s">
        <v>198</v>
      </c>
      <c r="B44" s="50"/>
      <c r="C44" s="50"/>
      <c r="D44" s="53">
        <v>46320</v>
      </c>
      <c r="E44" s="50"/>
      <c r="F44" s="50"/>
      <c r="G44" s="50"/>
      <c r="H44" s="50"/>
      <c r="I44" s="50"/>
      <c r="J44" s="50"/>
    </row>
    <row r="45" spans="1:10" x14ac:dyDescent="0.25">
      <c r="A45" s="49" t="s">
        <v>199</v>
      </c>
      <c r="B45" s="50"/>
      <c r="C45" s="50"/>
      <c r="D45" s="47" t="s">
        <v>200</v>
      </c>
      <c r="E45" s="50"/>
      <c r="F45" s="50"/>
      <c r="G45" s="50"/>
      <c r="H45" s="50"/>
      <c r="I45" s="50"/>
      <c r="J45" s="50"/>
    </row>
    <row r="46" spans="1:10" x14ac:dyDescent="0.25">
      <c r="A46" s="49" t="s">
        <v>201</v>
      </c>
      <c r="B46" s="50"/>
      <c r="C46" s="50"/>
      <c r="D46" s="47" t="s">
        <v>202</v>
      </c>
      <c r="E46" s="50"/>
      <c r="F46" s="50"/>
      <c r="G46" s="50"/>
      <c r="H46" s="50"/>
      <c r="I46" s="50"/>
      <c r="J46" s="50"/>
    </row>
    <row r="47" spans="1:10" x14ac:dyDescent="0.25">
      <c r="A47" s="49" t="s">
        <v>203</v>
      </c>
      <c r="B47" s="50"/>
      <c r="C47" s="50"/>
      <c r="D47" s="47" t="s">
        <v>204</v>
      </c>
      <c r="E47" s="50"/>
      <c r="F47" s="50"/>
      <c r="G47" s="50"/>
      <c r="H47" s="50"/>
      <c r="I47" s="50"/>
      <c r="J47" s="50"/>
    </row>
    <row r="48" spans="1:10" x14ac:dyDescent="0.25">
      <c r="A48" s="49" t="s">
        <v>205</v>
      </c>
      <c r="B48" s="50"/>
      <c r="C48" s="50"/>
      <c r="D48" s="47" t="s">
        <v>206</v>
      </c>
      <c r="E48" s="50"/>
      <c r="F48" s="50"/>
      <c r="G48" s="50"/>
      <c r="H48" s="50"/>
      <c r="I48" s="50"/>
      <c r="J48" s="50"/>
    </row>
    <row r="49" spans="1:10" x14ac:dyDescent="0.25">
      <c r="A49" s="49" t="s">
        <v>526</v>
      </c>
      <c r="B49" s="50"/>
      <c r="C49" s="50"/>
      <c r="D49" s="51" t="s">
        <v>519</v>
      </c>
      <c r="E49" s="50"/>
      <c r="F49" s="50"/>
      <c r="G49" s="50"/>
      <c r="H49" s="50"/>
      <c r="I49" s="50"/>
      <c r="J49" s="50"/>
    </row>
    <row r="51" spans="1:10" x14ac:dyDescent="0.25">
      <c r="A51" s="31" t="s">
        <v>207</v>
      </c>
    </row>
    <row r="52" spans="1:10" ht="36" customHeight="1" x14ac:dyDescent="0.25">
      <c r="A52" s="33" t="s">
        <v>208</v>
      </c>
      <c r="B52" s="47" t="s">
        <v>543</v>
      </c>
      <c r="C52" s="48"/>
      <c r="D52" s="48"/>
      <c r="E52" s="48"/>
      <c r="F52" s="48"/>
      <c r="G52" s="48"/>
      <c r="H52" s="48"/>
      <c r="I52" s="48"/>
      <c r="J52" s="48"/>
    </row>
    <row r="53" spans="1:10" x14ac:dyDescent="0.25">
      <c r="A53" s="33" t="s">
        <v>209</v>
      </c>
      <c r="B53" s="47" t="s">
        <v>210</v>
      </c>
      <c r="C53" s="48"/>
      <c r="D53" s="48"/>
      <c r="E53" s="48"/>
      <c r="F53" s="48"/>
      <c r="G53" s="48"/>
      <c r="H53" s="48"/>
      <c r="I53" s="48"/>
      <c r="J53" s="48"/>
    </row>
    <row r="54" spans="1:10" x14ac:dyDescent="0.25">
      <c r="A54" s="33" t="s">
        <v>211</v>
      </c>
      <c r="B54" s="47" t="s">
        <v>544</v>
      </c>
      <c r="C54" s="48"/>
      <c r="D54" s="48"/>
      <c r="E54" s="48"/>
      <c r="F54" s="48"/>
      <c r="G54" s="48"/>
      <c r="H54" s="48"/>
      <c r="I54" s="48"/>
      <c r="J54" s="48"/>
    </row>
    <row r="55" spans="1:10" x14ac:dyDescent="0.25">
      <c r="A55" s="33" t="s">
        <v>212</v>
      </c>
      <c r="B55" s="47" t="s">
        <v>213</v>
      </c>
      <c r="C55" s="48"/>
      <c r="D55" s="48"/>
      <c r="E55" s="48"/>
      <c r="F55" s="48"/>
      <c r="G55" s="48"/>
      <c r="H55" s="48"/>
      <c r="I55" s="48"/>
      <c r="J55" s="48"/>
    </row>
  </sheetData>
  <mergeCells count="17">
    <mergeCell ref="A46:C46"/>
    <mergeCell ref="D46:J46"/>
    <mergeCell ref="F3:J3"/>
    <mergeCell ref="A44:C44"/>
    <mergeCell ref="D44:J44"/>
    <mergeCell ref="A45:C45"/>
    <mergeCell ref="D45:J45"/>
    <mergeCell ref="B55:J55"/>
    <mergeCell ref="A47:C47"/>
    <mergeCell ref="D47:J47"/>
    <mergeCell ref="A48:C48"/>
    <mergeCell ref="D48:J48"/>
    <mergeCell ref="A49:C49"/>
    <mergeCell ref="D49:J49"/>
    <mergeCell ref="B52:J52"/>
    <mergeCell ref="B53:J53"/>
    <mergeCell ref="B54:J54"/>
  </mergeCells>
  <dataValidations count="2">
    <dataValidation type="list" allowBlank="1" sqref="J6 J8:J11 J13:J17 J19:J21 J23:J25 J27:J31 J33:J37" xr:uid="{E98FC30C-B191-40F5-9485-21D245A2B83C}">
      <formula1>"Im Prompt nicht verlangt,Anweisung nicht befolgt,Sachfehler,Widerspruch im Output"</formula1>
    </dataValidation>
    <dataValidation type="list" allowBlank="1" sqref="F8:G10 F13:G17 F19:G21 F23:G24 F27:G31 F33:F35 F37:G37 G6 G33:G36" xr:uid="{D60CCC8E-9742-4CA7-B837-5C7C672D50BB}">
      <formula1>"0,1,2"</formula1>
    </dataValidation>
  </dataValidations>
  <hyperlinks>
    <hyperlink ref="D49" r:id="rId1" display="https://share.gemini.google/xQqrJIaF2gUk" xr:uid="{714A1680-0B64-4A4F-B188-900FC4C6E361}"/>
  </hyperlinks>
  <pageMargins left="0.7" right="0.7" top="0.78740157499999996" bottom="0.78740157499999996" header="0.3" footer="0.3"/>
  <pageSetup paperSize="9" scale="54"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8628-9146-4483-AF63-C1895180568A}">
  <sheetPr>
    <pageSetUpPr fitToPage="1"/>
  </sheetPr>
  <dimension ref="A1:J57"/>
  <sheetViews>
    <sheetView tabSelected="1" topLeftCell="A37" workbookViewId="0">
      <selection activeCell="D54" sqref="D54"/>
    </sheetView>
  </sheetViews>
  <sheetFormatPr baseColWidth="10" defaultRowHeight="15" x14ac:dyDescent="0.25"/>
  <cols>
    <col min="1" max="1" width="6.140625" customWidth="1"/>
    <col min="2" max="2" width="12" customWidth="1"/>
    <col min="3" max="3" width="60" customWidth="1"/>
    <col min="4" max="4" width="9" customWidth="1"/>
    <col min="5" max="5" width="13.140625" customWidth="1"/>
    <col min="9" max="9" width="57.28515625" customWidth="1"/>
    <col min="10" max="10" width="22.7109375" bestFit="1" customWidth="1"/>
  </cols>
  <sheetData>
    <row r="1" spans="1:10" ht="18.75" x14ac:dyDescent="0.3">
      <c r="A1" s="15" t="s">
        <v>214</v>
      </c>
    </row>
    <row r="3" spans="1:10" x14ac:dyDescent="0.25">
      <c r="F3" s="58" t="s">
        <v>132</v>
      </c>
      <c r="G3" s="55"/>
      <c r="H3" s="55"/>
      <c r="I3" s="55"/>
      <c r="J3" s="55"/>
    </row>
    <row r="4" spans="1:10" ht="30" x14ac:dyDescent="0.25">
      <c r="A4" s="17" t="s">
        <v>2</v>
      </c>
      <c r="B4" s="17" t="s">
        <v>5</v>
      </c>
      <c r="C4" s="17" t="s">
        <v>133</v>
      </c>
      <c r="D4" s="17" t="s">
        <v>134</v>
      </c>
      <c r="E4" s="17" t="s">
        <v>475</v>
      </c>
      <c r="F4" s="17" t="s">
        <v>518</v>
      </c>
      <c r="G4" s="20" t="s">
        <v>517</v>
      </c>
      <c r="H4" s="17" t="s">
        <v>136</v>
      </c>
      <c r="I4" s="17" t="s">
        <v>137</v>
      </c>
      <c r="J4" s="17" t="s">
        <v>138</v>
      </c>
    </row>
    <row r="5" spans="1:10" x14ac:dyDescent="0.25">
      <c r="A5" s="8" t="s">
        <v>10</v>
      </c>
      <c r="B5" s="9"/>
      <c r="C5" s="9"/>
      <c r="D5" s="9"/>
      <c r="E5" s="9"/>
      <c r="F5" s="9"/>
      <c r="G5" s="9"/>
      <c r="H5" s="9"/>
      <c r="I5" s="9"/>
      <c r="J5" s="9"/>
    </row>
    <row r="6" spans="1:10" ht="105" x14ac:dyDescent="0.25">
      <c r="A6" s="3" t="s">
        <v>11</v>
      </c>
      <c r="B6" s="3" t="s">
        <v>14</v>
      </c>
      <c r="C6" s="3" t="s">
        <v>139</v>
      </c>
      <c r="D6" s="3">
        <v>2</v>
      </c>
      <c r="E6" s="3" t="s">
        <v>140</v>
      </c>
      <c r="F6" s="4" t="s">
        <v>35</v>
      </c>
      <c r="G6" s="5">
        <v>2</v>
      </c>
      <c r="H6" s="6">
        <v>2</v>
      </c>
      <c r="I6" s="3"/>
      <c r="J6" s="7"/>
    </row>
    <row r="7" spans="1:10" x14ac:dyDescent="0.25">
      <c r="A7" s="8" t="s">
        <v>18</v>
      </c>
      <c r="B7" s="9"/>
      <c r="C7" s="9"/>
      <c r="D7" s="9"/>
      <c r="E7" s="9"/>
      <c r="F7" s="9"/>
      <c r="G7" s="9"/>
      <c r="H7" s="9"/>
      <c r="I7" s="9"/>
      <c r="J7" s="9"/>
    </row>
    <row r="8" spans="1:10" ht="120" x14ac:dyDescent="0.25">
      <c r="A8" s="3" t="s">
        <v>19</v>
      </c>
      <c r="B8" s="3" t="s">
        <v>14</v>
      </c>
      <c r="C8" s="3" t="s">
        <v>141</v>
      </c>
      <c r="D8" s="3">
        <v>2</v>
      </c>
      <c r="E8" s="3" t="s">
        <v>142</v>
      </c>
      <c r="F8" s="4">
        <v>2</v>
      </c>
      <c r="G8" s="5"/>
      <c r="H8" s="6">
        <v>2</v>
      </c>
      <c r="I8" s="3" t="s">
        <v>215</v>
      </c>
      <c r="J8" s="7"/>
    </row>
    <row r="9" spans="1:10" ht="120" x14ac:dyDescent="0.25">
      <c r="A9" s="3" t="s">
        <v>23</v>
      </c>
      <c r="B9" s="3" t="s">
        <v>14</v>
      </c>
      <c r="C9" s="3" t="s">
        <v>145</v>
      </c>
      <c r="D9" s="3">
        <v>2</v>
      </c>
      <c r="E9" s="3" t="s">
        <v>142</v>
      </c>
      <c r="F9" s="4">
        <v>2</v>
      </c>
      <c r="G9" s="5"/>
      <c r="H9" s="6">
        <v>2</v>
      </c>
      <c r="I9" s="3" t="s">
        <v>216</v>
      </c>
      <c r="J9" s="7"/>
    </row>
    <row r="10" spans="1:10" ht="75" x14ac:dyDescent="0.25">
      <c r="A10" s="3" t="s">
        <v>27</v>
      </c>
      <c r="B10" s="3" t="s">
        <v>14</v>
      </c>
      <c r="C10" s="3" t="s">
        <v>147</v>
      </c>
      <c r="D10" s="3">
        <v>2</v>
      </c>
      <c r="E10" s="3" t="s">
        <v>142</v>
      </c>
      <c r="F10" s="4">
        <v>2</v>
      </c>
      <c r="G10" s="5"/>
      <c r="H10" s="6">
        <v>2</v>
      </c>
      <c r="I10" s="3" t="s">
        <v>217</v>
      </c>
      <c r="J10" s="7"/>
    </row>
    <row r="11" spans="1:10" ht="75" x14ac:dyDescent="0.25">
      <c r="A11" s="3" t="s">
        <v>31</v>
      </c>
      <c r="B11" s="3" t="s">
        <v>34</v>
      </c>
      <c r="C11" s="3" t="s">
        <v>149</v>
      </c>
      <c r="D11" s="3" t="s">
        <v>35</v>
      </c>
      <c r="E11" s="3" t="s">
        <v>140</v>
      </c>
      <c r="F11" s="10">
        <v>0.43</v>
      </c>
      <c r="G11" s="11"/>
      <c r="H11" s="12">
        <v>0.43</v>
      </c>
      <c r="I11" s="3" t="s">
        <v>218</v>
      </c>
      <c r="J11" s="7" t="s">
        <v>144</v>
      </c>
    </row>
    <row r="12" spans="1:10" x14ac:dyDescent="0.25">
      <c r="A12" s="8" t="s">
        <v>37</v>
      </c>
      <c r="B12" s="9"/>
      <c r="C12" s="9"/>
      <c r="D12" s="9"/>
      <c r="E12" s="9"/>
      <c r="F12" s="9"/>
      <c r="G12" s="9"/>
      <c r="H12" s="9"/>
      <c r="I12" s="9"/>
      <c r="J12" s="9"/>
    </row>
    <row r="13" spans="1:10" ht="45" x14ac:dyDescent="0.25">
      <c r="A13" s="3" t="s">
        <v>38</v>
      </c>
      <c r="B13" s="3" t="s">
        <v>14</v>
      </c>
      <c r="C13" s="3" t="s">
        <v>151</v>
      </c>
      <c r="D13" s="3">
        <v>2</v>
      </c>
      <c r="E13" s="3" t="s">
        <v>142</v>
      </c>
      <c r="F13" s="4">
        <v>2</v>
      </c>
      <c r="G13" s="5"/>
      <c r="H13" s="6">
        <v>2</v>
      </c>
      <c r="I13" s="3" t="s">
        <v>219</v>
      </c>
      <c r="J13" s="7"/>
    </row>
    <row r="14" spans="1:10" ht="135" x14ac:dyDescent="0.25">
      <c r="A14" s="3" t="s">
        <v>43</v>
      </c>
      <c r="B14" s="3" t="s">
        <v>14</v>
      </c>
      <c r="C14" s="3" t="s">
        <v>153</v>
      </c>
      <c r="D14" s="3">
        <v>2</v>
      </c>
      <c r="E14" s="3" t="s">
        <v>142</v>
      </c>
      <c r="F14" s="4">
        <v>0</v>
      </c>
      <c r="G14" s="5"/>
      <c r="H14" s="6">
        <v>0</v>
      </c>
      <c r="I14" s="3" t="s">
        <v>220</v>
      </c>
      <c r="J14" s="7" t="s">
        <v>144</v>
      </c>
    </row>
    <row r="15" spans="1:10" ht="90" x14ac:dyDescent="0.25">
      <c r="A15" s="3" t="s">
        <v>47</v>
      </c>
      <c r="B15" s="3" t="s">
        <v>14</v>
      </c>
      <c r="C15" s="3" t="s">
        <v>154</v>
      </c>
      <c r="D15" s="3">
        <v>2</v>
      </c>
      <c r="E15" s="3" t="s">
        <v>142</v>
      </c>
      <c r="F15" s="4">
        <v>0</v>
      </c>
      <c r="G15" s="5">
        <v>2</v>
      </c>
      <c r="H15" s="6">
        <v>2</v>
      </c>
      <c r="I15" s="3" t="s">
        <v>221</v>
      </c>
      <c r="J15" s="7"/>
    </row>
    <row r="16" spans="1:10" ht="105" x14ac:dyDescent="0.25">
      <c r="A16" s="3" t="s">
        <v>51</v>
      </c>
      <c r="B16" s="3" t="s">
        <v>54</v>
      </c>
      <c r="C16" s="3" t="s">
        <v>156</v>
      </c>
      <c r="D16" s="3" t="s">
        <v>35</v>
      </c>
      <c r="E16" s="3" t="s">
        <v>142</v>
      </c>
      <c r="F16" s="4">
        <v>1</v>
      </c>
      <c r="G16" s="5">
        <v>2</v>
      </c>
      <c r="H16" s="6">
        <v>2</v>
      </c>
      <c r="I16" s="3" t="s">
        <v>222</v>
      </c>
      <c r="J16" s="7"/>
    </row>
    <row r="17" spans="1:10" ht="90" x14ac:dyDescent="0.25">
      <c r="A17" s="3" t="s">
        <v>56</v>
      </c>
      <c r="B17" s="3" t="s">
        <v>54</v>
      </c>
      <c r="C17" s="3" t="s">
        <v>159</v>
      </c>
      <c r="D17" s="3" t="s">
        <v>35</v>
      </c>
      <c r="E17" s="3" t="s">
        <v>142</v>
      </c>
      <c r="F17" s="4">
        <v>0</v>
      </c>
      <c r="G17" s="5"/>
      <c r="H17" s="6">
        <v>0</v>
      </c>
      <c r="I17" s="3" t="s">
        <v>223</v>
      </c>
      <c r="J17" s="7" t="s">
        <v>224</v>
      </c>
    </row>
    <row r="18" spans="1:10" x14ac:dyDescent="0.25">
      <c r="A18" s="8" t="s">
        <v>60</v>
      </c>
      <c r="B18" s="9"/>
      <c r="C18" s="9"/>
      <c r="D18" s="9"/>
      <c r="E18" s="9"/>
      <c r="F18" s="9"/>
      <c r="G18" s="9"/>
      <c r="H18" s="9"/>
      <c r="I18" s="9"/>
      <c r="J18" s="9"/>
    </row>
    <row r="19" spans="1:10" ht="90" x14ac:dyDescent="0.25">
      <c r="A19" s="3" t="s">
        <v>61</v>
      </c>
      <c r="B19" s="3" t="s">
        <v>14</v>
      </c>
      <c r="C19" s="3" t="s">
        <v>161</v>
      </c>
      <c r="D19" s="3">
        <v>2</v>
      </c>
      <c r="E19" s="3" t="s">
        <v>142</v>
      </c>
      <c r="F19" s="4">
        <v>2</v>
      </c>
      <c r="G19" s="5"/>
      <c r="H19" s="6">
        <v>2</v>
      </c>
      <c r="I19" s="3" t="s">
        <v>225</v>
      </c>
      <c r="J19" s="7"/>
    </row>
    <row r="20" spans="1:10" ht="75" x14ac:dyDescent="0.25">
      <c r="A20" s="3" t="s">
        <v>65</v>
      </c>
      <c r="B20" s="3" t="s">
        <v>54</v>
      </c>
      <c r="C20" s="3" t="s">
        <v>163</v>
      </c>
      <c r="D20" s="3" t="s">
        <v>35</v>
      </c>
      <c r="E20" s="3" t="s">
        <v>142</v>
      </c>
      <c r="F20" s="4">
        <v>2</v>
      </c>
      <c r="G20" s="5"/>
      <c r="H20" s="6">
        <v>2</v>
      </c>
      <c r="I20" s="3" t="s">
        <v>226</v>
      </c>
      <c r="J20" s="7"/>
    </row>
    <row r="21" spans="1:10" ht="75" x14ac:dyDescent="0.25">
      <c r="A21" s="3" t="s">
        <v>69</v>
      </c>
      <c r="B21" s="3" t="s">
        <v>54</v>
      </c>
      <c r="C21" s="3" t="s">
        <v>165</v>
      </c>
      <c r="D21" s="3" t="s">
        <v>35</v>
      </c>
      <c r="E21" s="3" t="s">
        <v>142</v>
      </c>
      <c r="F21" s="4">
        <v>2</v>
      </c>
      <c r="G21" s="5"/>
      <c r="H21" s="6">
        <v>2</v>
      </c>
      <c r="I21" s="3" t="s">
        <v>227</v>
      </c>
      <c r="J21" s="7"/>
    </row>
    <row r="22" spans="1:10" x14ac:dyDescent="0.25">
      <c r="A22" s="8" t="s">
        <v>73</v>
      </c>
      <c r="B22" s="9"/>
      <c r="C22" s="9"/>
      <c r="D22" s="9"/>
      <c r="E22" s="9"/>
      <c r="F22" s="9"/>
      <c r="G22" s="9"/>
      <c r="H22" s="9"/>
      <c r="I22" s="9"/>
      <c r="J22" s="9"/>
    </row>
    <row r="23" spans="1:10" ht="75" x14ac:dyDescent="0.25">
      <c r="A23" s="3" t="s">
        <v>74</v>
      </c>
      <c r="B23" s="3" t="s">
        <v>14</v>
      </c>
      <c r="C23" s="3" t="s">
        <v>167</v>
      </c>
      <c r="D23" s="3">
        <v>2</v>
      </c>
      <c r="E23" s="3" t="s">
        <v>142</v>
      </c>
      <c r="F23" s="4">
        <v>0</v>
      </c>
      <c r="G23" s="5"/>
      <c r="H23" s="6">
        <v>0</v>
      </c>
      <c r="I23" s="3" t="s">
        <v>228</v>
      </c>
      <c r="J23" s="7" t="s">
        <v>144</v>
      </c>
    </row>
    <row r="24" spans="1:10" ht="75" x14ac:dyDescent="0.25">
      <c r="A24" s="3" t="s">
        <v>79</v>
      </c>
      <c r="B24" s="3" t="s">
        <v>14</v>
      </c>
      <c r="C24" s="3" t="s">
        <v>169</v>
      </c>
      <c r="D24" s="3">
        <v>2</v>
      </c>
      <c r="E24" s="3" t="s">
        <v>142</v>
      </c>
      <c r="F24" s="4">
        <v>2</v>
      </c>
      <c r="G24" s="5"/>
      <c r="H24" s="6">
        <v>2</v>
      </c>
      <c r="I24" s="3" t="s">
        <v>229</v>
      </c>
      <c r="J24" s="7"/>
    </row>
    <row r="25" spans="1:10" ht="75" x14ac:dyDescent="0.25">
      <c r="A25" s="3" t="s">
        <v>83</v>
      </c>
      <c r="B25" s="3" t="s">
        <v>34</v>
      </c>
      <c r="C25" s="3" t="s">
        <v>171</v>
      </c>
      <c r="D25" s="3" t="s">
        <v>35</v>
      </c>
      <c r="E25" s="3" t="s">
        <v>140</v>
      </c>
      <c r="F25" s="10">
        <v>0.92</v>
      </c>
      <c r="G25" s="11"/>
      <c r="H25" s="12">
        <v>0.92</v>
      </c>
      <c r="I25" s="3" t="s">
        <v>230</v>
      </c>
      <c r="J25" s="7" t="s">
        <v>144</v>
      </c>
    </row>
    <row r="26" spans="1:10" x14ac:dyDescent="0.25">
      <c r="A26" s="8" t="s">
        <v>87</v>
      </c>
      <c r="B26" s="9"/>
      <c r="C26" s="9"/>
      <c r="D26" s="9"/>
      <c r="E26" s="9"/>
      <c r="F26" s="9"/>
      <c r="G26" s="9"/>
      <c r="H26" s="9"/>
      <c r="I26" s="9"/>
      <c r="J26" s="9"/>
    </row>
    <row r="27" spans="1:10" ht="75" x14ac:dyDescent="0.25">
      <c r="A27" s="3" t="s">
        <v>88</v>
      </c>
      <c r="B27" s="3" t="s">
        <v>14</v>
      </c>
      <c r="C27" s="3" t="s">
        <v>173</v>
      </c>
      <c r="D27" s="3">
        <v>2</v>
      </c>
      <c r="E27" s="3" t="s">
        <v>142</v>
      </c>
      <c r="F27" s="4">
        <v>2</v>
      </c>
      <c r="G27" s="5"/>
      <c r="H27" s="6">
        <v>2</v>
      </c>
      <c r="I27" s="3" t="s">
        <v>231</v>
      </c>
      <c r="J27" s="7"/>
    </row>
    <row r="28" spans="1:10" ht="105" x14ac:dyDescent="0.25">
      <c r="A28" s="3" t="s">
        <v>93</v>
      </c>
      <c r="B28" s="3" t="s">
        <v>96</v>
      </c>
      <c r="C28" s="3" t="s">
        <v>175</v>
      </c>
      <c r="D28" s="3">
        <v>1</v>
      </c>
      <c r="E28" s="3" t="s">
        <v>142</v>
      </c>
      <c r="F28" s="4">
        <v>2</v>
      </c>
      <c r="G28" s="5"/>
      <c r="H28" s="6">
        <v>2</v>
      </c>
      <c r="I28" s="3" t="s">
        <v>232</v>
      </c>
      <c r="J28" s="7"/>
    </row>
    <row r="29" spans="1:10" ht="60" x14ac:dyDescent="0.25">
      <c r="A29" s="3" t="s">
        <v>98</v>
      </c>
      <c r="B29" s="3" t="s">
        <v>14</v>
      </c>
      <c r="C29" s="3" t="s">
        <v>177</v>
      </c>
      <c r="D29" s="3">
        <v>2</v>
      </c>
      <c r="E29" s="3" t="s">
        <v>142</v>
      </c>
      <c r="F29" s="4">
        <v>2</v>
      </c>
      <c r="G29" s="5"/>
      <c r="H29" s="6">
        <v>2</v>
      </c>
      <c r="I29" s="3" t="s">
        <v>233</v>
      </c>
      <c r="J29" s="7"/>
    </row>
    <row r="30" spans="1:10" ht="75" x14ac:dyDescent="0.25">
      <c r="A30" s="3" t="s">
        <v>102</v>
      </c>
      <c r="B30" s="3" t="s">
        <v>14</v>
      </c>
      <c r="C30" s="3" t="s">
        <v>179</v>
      </c>
      <c r="D30" s="3">
        <v>2</v>
      </c>
      <c r="E30" s="3" t="s">
        <v>142</v>
      </c>
      <c r="F30" s="4">
        <v>2</v>
      </c>
      <c r="G30" s="5"/>
      <c r="H30" s="6">
        <v>2</v>
      </c>
      <c r="I30" s="3" t="s">
        <v>234</v>
      </c>
      <c r="J30" s="7"/>
    </row>
    <row r="31" spans="1:10" ht="75" x14ac:dyDescent="0.25">
      <c r="A31" s="3" t="s">
        <v>106</v>
      </c>
      <c r="B31" s="3" t="s">
        <v>54</v>
      </c>
      <c r="C31" s="3" t="s">
        <v>181</v>
      </c>
      <c r="D31" s="3" t="s">
        <v>35</v>
      </c>
      <c r="E31" s="3" t="s">
        <v>142</v>
      </c>
      <c r="F31" s="4">
        <v>1</v>
      </c>
      <c r="G31" s="5"/>
      <c r="H31" s="6">
        <v>1</v>
      </c>
      <c r="I31" s="3" t="s">
        <v>235</v>
      </c>
      <c r="J31" s="7" t="s">
        <v>144</v>
      </c>
    </row>
    <row r="32" spans="1:10" x14ac:dyDescent="0.25">
      <c r="A32" s="8" t="s">
        <v>109</v>
      </c>
      <c r="B32" s="9"/>
      <c r="C32" s="9"/>
      <c r="D32" s="9"/>
      <c r="E32" s="9"/>
      <c r="F32" s="9"/>
      <c r="G32" s="9"/>
      <c r="H32" s="9"/>
      <c r="I32" s="9"/>
      <c r="J32" s="9"/>
    </row>
    <row r="33" spans="1:10" ht="90" x14ac:dyDescent="0.25">
      <c r="A33" s="3" t="s">
        <v>110</v>
      </c>
      <c r="B33" s="3" t="s">
        <v>14</v>
      </c>
      <c r="C33" s="3" t="s">
        <v>183</v>
      </c>
      <c r="D33" s="3">
        <v>2</v>
      </c>
      <c r="E33" s="3" t="s">
        <v>142</v>
      </c>
      <c r="F33" s="4">
        <v>2</v>
      </c>
      <c r="G33" s="5"/>
      <c r="H33" s="6">
        <v>2</v>
      </c>
      <c r="I33" s="3" t="s">
        <v>236</v>
      </c>
      <c r="J33" s="7"/>
    </row>
    <row r="34" spans="1:10" ht="150" x14ac:dyDescent="0.25">
      <c r="A34" s="3" t="s">
        <v>115</v>
      </c>
      <c r="B34" s="3" t="s">
        <v>96</v>
      </c>
      <c r="C34" s="3" t="s">
        <v>185</v>
      </c>
      <c r="D34" s="3">
        <v>1</v>
      </c>
      <c r="E34" s="3" t="s">
        <v>142</v>
      </c>
      <c r="F34" s="4">
        <v>1</v>
      </c>
      <c r="G34" s="5"/>
      <c r="H34" s="6">
        <v>1</v>
      </c>
      <c r="I34" s="3" t="s">
        <v>237</v>
      </c>
      <c r="J34" s="7" t="s">
        <v>144</v>
      </c>
    </row>
    <row r="35" spans="1:10" ht="60" x14ac:dyDescent="0.25">
      <c r="A35" s="3" t="s">
        <v>119</v>
      </c>
      <c r="B35" s="3" t="s">
        <v>14</v>
      </c>
      <c r="C35" s="3" t="s">
        <v>187</v>
      </c>
      <c r="D35" s="3">
        <v>2</v>
      </c>
      <c r="E35" s="3" t="s">
        <v>142</v>
      </c>
      <c r="F35" s="4">
        <v>2</v>
      </c>
      <c r="G35" s="5"/>
      <c r="H35" s="6">
        <v>2</v>
      </c>
      <c r="I35" s="3" t="s">
        <v>238</v>
      </c>
      <c r="J35" s="7"/>
    </row>
    <row r="36" spans="1:10" ht="105" x14ac:dyDescent="0.25">
      <c r="A36" s="3" t="s">
        <v>123</v>
      </c>
      <c r="B36" s="3" t="s">
        <v>14</v>
      </c>
      <c r="C36" s="3" t="s">
        <v>189</v>
      </c>
      <c r="D36" s="3">
        <v>2</v>
      </c>
      <c r="E36" s="3" t="s">
        <v>140</v>
      </c>
      <c r="F36" s="4" t="s">
        <v>35</v>
      </c>
      <c r="G36" s="5">
        <v>2</v>
      </c>
      <c r="H36" s="6">
        <v>2</v>
      </c>
      <c r="I36" s="3" t="s">
        <v>520</v>
      </c>
      <c r="J36" s="7"/>
    </row>
    <row r="37" spans="1:10" ht="60" x14ac:dyDescent="0.25">
      <c r="A37" s="3" t="s">
        <v>127</v>
      </c>
      <c r="B37" s="3" t="s">
        <v>14</v>
      </c>
      <c r="C37" s="3" t="s">
        <v>191</v>
      </c>
      <c r="D37" s="3">
        <v>2</v>
      </c>
      <c r="E37" s="3" t="s">
        <v>142</v>
      </c>
      <c r="F37" s="4">
        <v>2</v>
      </c>
      <c r="G37" s="5"/>
      <c r="H37" s="6">
        <v>2</v>
      </c>
      <c r="I37" s="3" t="s">
        <v>239</v>
      </c>
      <c r="J37" s="7"/>
    </row>
    <row r="38" spans="1:10" x14ac:dyDescent="0.25">
      <c r="C38" s="34"/>
    </row>
    <row r="39" spans="1:10" x14ac:dyDescent="0.25">
      <c r="C39" s="34" t="s">
        <v>193</v>
      </c>
      <c r="H39" s="35"/>
    </row>
    <row r="40" spans="1:10" x14ac:dyDescent="0.25">
      <c r="C40" s="34" t="s">
        <v>194</v>
      </c>
      <c r="H40" s="35">
        <f>SUMPRODUCT(--(LEFT($B$5:$B$37,7)="Pflicht"))</f>
        <v>19</v>
      </c>
    </row>
    <row r="41" spans="1:10" x14ac:dyDescent="0.25">
      <c r="C41" s="34" t="s">
        <v>195</v>
      </c>
      <c r="H41" s="35">
        <f>SUMPRODUCT((LEFT($B$5:$B$37,7)="Pflicht")*ISNUMBER(H$5:H$37)*(H$5:H$37&gt;=$D$5:$D$37))</f>
        <v>17</v>
      </c>
    </row>
    <row r="42" spans="1:10" x14ac:dyDescent="0.25">
      <c r="C42" s="34" t="s">
        <v>196</v>
      </c>
      <c r="H42" s="35" t="str">
        <f>IF(SUMPRODUCT((LEFT($B$5:$B$37,7)="Pflicht")*(H$5:H$37=""))&gt;0,"noch offen",IF(H41=H40,"ja","nein"))</f>
        <v>nein</v>
      </c>
    </row>
    <row r="43" spans="1:10" x14ac:dyDescent="0.25">
      <c r="A43" s="34"/>
    </row>
    <row r="44" spans="1:10" x14ac:dyDescent="0.25">
      <c r="A44" s="56" t="s">
        <v>197</v>
      </c>
      <c r="B44" s="55"/>
      <c r="C44" s="55"/>
    </row>
    <row r="45" spans="1:10" x14ac:dyDescent="0.25">
      <c r="A45" s="56" t="s">
        <v>198</v>
      </c>
      <c r="B45" s="55"/>
      <c r="C45" s="55"/>
      <c r="D45" s="59">
        <v>46322</v>
      </c>
      <c r="E45" s="55"/>
      <c r="F45" s="55"/>
      <c r="G45" s="55"/>
      <c r="H45" s="55"/>
      <c r="I45" s="55"/>
      <c r="J45" s="55"/>
    </row>
    <row r="46" spans="1:10" x14ac:dyDescent="0.25">
      <c r="A46" s="56" t="s">
        <v>199</v>
      </c>
      <c r="B46" s="55"/>
      <c r="C46" s="55"/>
      <c r="D46" s="54" t="s">
        <v>200</v>
      </c>
      <c r="E46" s="55"/>
      <c r="F46" s="55"/>
      <c r="G46" s="55"/>
      <c r="H46" s="55"/>
      <c r="I46" s="55"/>
      <c r="J46" s="55"/>
    </row>
    <row r="47" spans="1:10" x14ac:dyDescent="0.25">
      <c r="A47" s="56" t="s">
        <v>201</v>
      </c>
      <c r="B47" s="55"/>
      <c r="C47" s="55"/>
      <c r="D47" s="54" t="s">
        <v>202</v>
      </c>
      <c r="E47" s="55"/>
      <c r="F47" s="55"/>
      <c r="G47" s="55"/>
      <c r="H47" s="55"/>
      <c r="I47" s="55"/>
      <c r="J47" s="55"/>
    </row>
    <row r="48" spans="1:10" x14ac:dyDescent="0.25">
      <c r="A48" s="56" t="s">
        <v>203</v>
      </c>
      <c r="B48" s="55"/>
      <c r="C48" s="55"/>
      <c r="D48" s="54" t="s">
        <v>240</v>
      </c>
      <c r="E48" s="55"/>
      <c r="F48" s="55"/>
      <c r="G48" s="55"/>
      <c r="H48" s="55"/>
      <c r="I48" s="55"/>
      <c r="J48" s="55"/>
    </row>
    <row r="49" spans="1:10" x14ac:dyDescent="0.25">
      <c r="A49" s="56" t="s">
        <v>205</v>
      </c>
      <c r="B49" s="55"/>
      <c r="C49" s="55"/>
      <c r="D49" s="54" t="s">
        <v>206</v>
      </c>
      <c r="E49" s="55"/>
      <c r="F49" s="55"/>
      <c r="G49" s="55"/>
      <c r="H49" s="55"/>
      <c r="I49" s="55"/>
      <c r="J49" s="55"/>
    </row>
    <row r="50" spans="1:10" ht="30" customHeight="1" x14ac:dyDescent="0.25">
      <c r="A50" s="56" t="s">
        <v>526</v>
      </c>
      <c r="B50" s="55"/>
      <c r="C50" s="55"/>
      <c r="D50" s="54" t="s">
        <v>521</v>
      </c>
      <c r="E50" s="55"/>
      <c r="F50" s="55"/>
      <c r="G50" s="55"/>
      <c r="H50" s="55"/>
      <c r="I50" s="55"/>
      <c r="J50" s="55"/>
    </row>
    <row r="51" spans="1:10" x14ac:dyDescent="0.25">
      <c r="A51" s="56"/>
      <c r="B51" s="55"/>
      <c r="C51" s="55"/>
      <c r="D51" s="57"/>
      <c r="E51" s="55"/>
      <c r="F51" s="55"/>
      <c r="G51" s="55"/>
      <c r="H51" s="55"/>
      <c r="I51" s="55"/>
      <c r="J51" s="55"/>
    </row>
    <row r="52" spans="1:10" x14ac:dyDescent="0.25">
      <c r="A52" s="2" t="s">
        <v>241</v>
      </c>
      <c r="B52" s="2"/>
      <c r="C52" s="2"/>
    </row>
    <row r="53" spans="1:10" ht="54.75" customHeight="1" x14ac:dyDescent="0.25">
      <c r="A53" s="34" t="s">
        <v>208</v>
      </c>
      <c r="D53" s="54" t="s">
        <v>545</v>
      </c>
      <c r="E53" s="55"/>
      <c r="F53" s="55"/>
      <c r="G53" s="55"/>
      <c r="H53" s="55"/>
      <c r="I53" s="55"/>
      <c r="J53" s="55"/>
    </row>
    <row r="54" spans="1:10" x14ac:dyDescent="0.25">
      <c r="A54" s="36"/>
    </row>
    <row r="55" spans="1:10" x14ac:dyDescent="0.25">
      <c r="A55" s="36"/>
    </row>
    <row r="56" spans="1:10" x14ac:dyDescent="0.25">
      <c r="A56" s="36"/>
    </row>
    <row r="57" spans="1:10" x14ac:dyDescent="0.25">
      <c r="A57" s="36"/>
    </row>
  </sheetData>
  <mergeCells count="17">
    <mergeCell ref="D50:J50"/>
    <mergeCell ref="D53:J53"/>
    <mergeCell ref="A44:C44"/>
    <mergeCell ref="A51:C51"/>
    <mergeCell ref="D51:J51"/>
    <mergeCell ref="F3:J3"/>
    <mergeCell ref="A45:C45"/>
    <mergeCell ref="D45:J45"/>
    <mergeCell ref="A46:C46"/>
    <mergeCell ref="D46:J46"/>
    <mergeCell ref="A47:C47"/>
    <mergeCell ref="D47:J47"/>
    <mergeCell ref="A49:C49"/>
    <mergeCell ref="D49:J49"/>
    <mergeCell ref="A48:C48"/>
    <mergeCell ref="D48:J48"/>
    <mergeCell ref="A50:C50"/>
  </mergeCells>
  <dataValidations count="3">
    <dataValidation type="list" allowBlank="1" sqref="J13:J17 J23:J25 J27:J31 J33:J37" xr:uid="{586ED275-982D-42F1-838D-6A8E78381B1C}">
      <formula1>"Im Prompt nicht verlangt,Anweisung nicht befolgt,Sachfehler,Widerspruch im Output"</formula1>
      <formula2>0</formula2>
    </dataValidation>
    <dataValidation type="list" allowBlank="1" sqref="J6 J8:J11 J19:J21" xr:uid="{F513EB45-EA98-4744-BC5D-385262338A1C}">
      <formula1>"Im Prompt nicht verlangt,Anweisung nicht befolgt,Sachfehler,Widerspruch im Output"</formula1>
    </dataValidation>
    <dataValidation type="list" allowBlank="1" sqref="F8:G10 F13:G17 F19:G21 F23:G24 F27:G31 F33:F35 F37 G6 G33:G37" xr:uid="{075B5135-B3B9-4685-9B05-569E04DC9E51}">
      <formula1>"0,1,2"</formula1>
    </dataValidation>
  </dataValidations>
  <pageMargins left="0.7" right="0.7" top="0.78740157499999996" bottom="0.78740157499999996" header="0.3" footer="0.3"/>
  <pageSetup paperSize="9" scale="6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D07F-2EF9-4E46-BDE3-AFD83F7C3C72}">
  <sheetPr>
    <pageSetUpPr fitToPage="1"/>
  </sheetPr>
  <dimension ref="A1:J57"/>
  <sheetViews>
    <sheetView topLeftCell="A37" workbookViewId="0">
      <selection activeCell="D46" sqref="D46:J46"/>
    </sheetView>
  </sheetViews>
  <sheetFormatPr baseColWidth="10" defaultRowHeight="15" x14ac:dyDescent="0.25"/>
  <cols>
    <col min="1" max="1" width="6.140625" customWidth="1"/>
    <col min="2" max="2" width="12" customWidth="1"/>
    <col min="3" max="3" width="60" customWidth="1"/>
    <col min="4" max="4" width="9" customWidth="1"/>
    <col min="5" max="5" width="13.140625" customWidth="1"/>
    <col min="9" max="9" width="57.28515625" customWidth="1"/>
    <col min="10" max="10" width="22.7109375" bestFit="1" customWidth="1"/>
  </cols>
  <sheetData>
    <row r="1" spans="1:10" ht="18.75" x14ac:dyDescent="0.3">
      <c r="A1" s="15" t="s">
        <v>242</v>
      </c>
    </row>
    <row r="3" spans="1:10" x14ac:dyDescent="0.25">
      <c r="F3" s="58" t="s">
        <v>132</v>
      </c>
      <c r="G3" s="55"/>
      <c r="H3" s="55"/>
      <c r="I3" s="55"/>
      <c r="J3" s="55"/>
    </row>
    <row r="4" spans="1:10" ht="30" x14ac:dyDescent="0.25">
      <c r="A4" s="17" t="s">
        <v>2</v>
      </c>
      <c r="B4" s="17" t="s">
        <v>5</v>
      </c>
      <c r="C4" s="17" t="s">
        <v>133</v>
      </c>
      <c r="D4" s="17" t="s">
        <v>134</v>
      </c>
      <c r="E4" s="17" t="s">
        <v>475</v>
      </c>
      <c r="F4" s="17" t="s">
        <v>518</v>
      </c>
      <c r="G4" s="20" t="s">
        <v>517</v>
      </c>
      <c r="H4" s="17" t="s">
        <v>136</v>
      </c>
      <c r="I4" s="17" t="s">
        <v>137</v>
      </c>
      <c r="J4" s="17" t="s">
        <v>138</v>
      </c>
    </row>
    <row r="5" spans="1:10" x14ac:dyDescent="0.25">
      <c r="A5" s="8" t="s">
        <v>10</v>
      </c>
      <c r="B5" s="9"/>
      <c r="C5" s="9"/>
      <c r="D5" s="9"/>
      <c r="E5" s="9"/>
      <c r="F5" s="9"/>
      <c r="G5" s="9"/>
      <c r="H5" s="9"/>
      <c r="I5" s="9"/>
      <c r="J5" s="9"/>
    </row>
    <row r="6" spans="1:10" ht="105" x14ac:dyDescent="0.25">
      <c r="A6" s="3" t="s">
        <v>11</v>
      </c>
      <c r="B6" s="3" t="s">
        <v>14</v>
      </c>
      <c r="C6" s="3" t="s">
        <v>139</v>
      </c>
      <c r="D6" s="3">
        <v>2</v>
      </c>
      <c r="E6" s="3" t="s">
        <v>140</v>
      </c>
      <c r="F6" s="4" t="s">
        <v>35</v>
      </c>
      <c r="G6" s="5">
        <v>2</v>
      </c>
      <c r="H6" s="6">
        <v>2</v>
      </c>
      <c r="I6" s="3"/>
      <c r="J6" s="7"/>
    </row>
    <row r="7" spans="1:10" x14ac:dyDescent="0.25">
      <c r="A7" s="8" t="s">
        <v>18</v>
      </c>
      <c r="B7" s="9"/>
      <c r="C7" s="9"/>
      <c r="D7" s="9"/>
      <c r="E7" s="9"/>
      <c r="F7" s="9"/>
      <c r="G7" s="9"/>
      <c r="H7" s="9"/>
      <c r="I7" s="9"/>
      <c r="J7" s="9"/>
    </row>
    <row r="8" spans="1:10" ht="120" x14ac:dyDescent="0.25">
      <c r="A8" s="3" t="s">
        <v>19</v>
      </c>
      <c r="B8" s="3" t="s">
        <v>14</v>
      </c>
      <c r="C8" s="3" t="s">
        <v>141</v>
      </c>
      <c r="D8" s="3">
        <v>2</v>
      </c>
      <c r="E8" s="3" t="s">
        <v>142</v>
      </c>
      <c r="F8" s="4">
        <v>2</v>
      </c>
      <c r="G8" s="5"/>
      <c r="H8" s="6">
        <v>2</v>
      </c>
      <c r="I8" s="3" t="s">
        <v>243</v>
      </c>
      <c r="J8" s="7"/>
    </row>
    <row r="9" spans="1:10" ht="150" x14ac:dyDescent="0.25">
      <c r="A9" s="3" t="s">
        <v>23</v>
      </c>
      <c r="B9" s="3" t="s">
        <v>14</v>
      </c>
      <c r="C9" s="3" t="s">
        <v>145</v>
      </c>
      <c r="D9" s="3">
        <v>2</v>
      </c>
      <c r="E9" s="3" t="s">
        <v>142</v>
      </c>
      <c r="F9" s="4">
        <v>2</v>
      </c>
      <c r="G9" s="5"/>
      <c r="H9" s="6">
        <v>2</v>
      </c>
      <c r="I9" s="3" t="s">
        <v>244</v>
      </c>
      <c r="J9" s="7"/>
    </row>
    <row r="10" spans="1:10" ht="120" x14ac:dyDescent="0.25">
      <c r="A10" s="3" t="s">
        <v>27</v>
      </c>
      <c r="B10" s="3" t="s">
        <v>14</v>
      </c>
      <c r="C10" s="3" t="s">
        <v>147</v>
      </c>
      <c r="D10" s="3">
        <v>2</v>
      </c>
      <c r="E10" s="3" t="s">
        <v>142</v>
      </c>
      <c r="F10" s="4">
        <v>2</v>
      </c>
      <c r="G10" s="5"/>
      <c r="H10" s="6">
        <v>2</v>
      </c>
      <c r="I10" s="3" t="s">
        <v>245</v>
      </c>
      <c r="J10" s="7"/>
    </row>
    <row r="11" spans="1:10" ht="75" x14ac:dyDescent="0.25">
      <c r="A11" s="3" t="s">
        <v>31</v>
      </c>
      <c r="B11" s="3" t="s">
        <v>34</v>
      </c>
      <c r="C11" s="3" t="s">
        <v>149</v>
      </c>
      <c r="D11" s="3" t="s">
        <v>35</v>
      </c>
      <c r="E11" s="3" t="s">
        <v>140</v>
      </c>
      <c r="F11" s="10">
        <v>0.36</v>
      </c>
      <c r="G11" s="11"/>
      <c r="H11" s="12">
        <v>0.36</v>
      </c>
      <c r="I11" s="3" t="s">
        <v>246</v>
      </c>
      <c r="J11" s="7" t="s">
        <v>144</v>
      </c>
    </row>
    <row r="12" spans="1:10" x14ac:dyDescent="0.25">
      <c r="A12" s="8" t="s">
        <v>37</v>
      </c>
      <c r="B12" s="9"/>
      <c r="C12" s="9"/>
      <c r="D12" s="9"/>
      <c r="E12" s="9"/>
      <c r="F12" s="9"/>
      <c r="G12" s="9"/>
      <c r="H12" s="9"/>
      <c r="I12" s="9"/>
      <c r="J12" s="9"/>
    </row>
    <row r="13" spans="1:10" ht="45" x14ac:dyDescent="0.25">
      <c r="A13" s="3" t="s">
        <v>38</v>
      </c>
      <c r="B13" s="3" t="s">
        <v>14</v>
      </c>
      <c r="C13" s="3" t="s">
        <v>151</v>
      </c>
      <c r="D13" s="3">
        <v>2</v>
      </c>
      <c r="E13" s="3" t="s">
        <v>142</v>
      </c>
      <c r="F13" s="4">
        <v>2</v>
      </c>
      <c r="G13" s="5"/>
      <c r="H13" s="6">
        <v>2</v>
      </c>
      <c r="I13" s="3" t="s">
        <v>247</v>
      </c>
      <c r="J13" s="7"/>
    </row>
    <row r="14" spans="1:10" ht="90" x14ac:dyDescent="0.25">
      <c r="A14" s="3" t="s">
        <v>43</v>
      </c>
      <c r="B14" s="3" t="s">
        <v>14</v>
      </c>
      <c r="C14" s="3" t="s">
        <v>153</v>
      </c>
      <c r="D14" s="3">
        <v>2</v>
      </c>
      <c r="E14" s="3" t="s">
        <v>142</v>
      </c>
      <c r="F14" s="4">
        <v>0</v>
      </c>
      <c r="G14" s="5"/>
      <c r="H14" s="6">
        <v>0</v>
      </c>
      <c r="I14" s="3" t="s">
        <v>522</v>
      </c>
      <c r="J14" s="7" t="s">
        <v>144</v>
      </c>
    </row>
    <row r="15" spans="1:10" ht="90" x14ac:dyDescent="0.25">
      <c r="A15" s="3" t="s">
        <v>47</v>
      </c>
      <c r="B15" s="3" t="s">
        <v>14</v>
      </c>
      <c r="C15" s="3" t="s">
        <v>154</v>
      </c>
      <c r="D15" s="3">
        <v>2</v>
      </c>
      <c r="E15" s="3" t="s">
        <v>142</v>
      </c>
      <c r="F15" s="4">
        <v>0</v>
      </c>
      <c r="G15" s="5"/>
      <c r="H15" s="6">
        <v>0</v>
      </c>
      <c r="I15" s="3" t="s">
        <v>523</v>
      </c>
      <c r="J15" s="7" t="s">
        <v>224</v>
      </c>
    </row>
    <row r="16" spans="1:10" ht="120" x14ac:dyDescent="0.25">
      <c r="A16" s="3" t="s">
        <v>51</v>
      </c>
      <c r="B16" s="3" t="s">
        <v>54</v>
      </c>
      <c r="C16" s="3" t="s">
        <v>156</v>
      </c>
      <c r="D16" s="3" t="s">
        <v>35</v>
      </c>
      <c r="E16" s="3" t="s">
        <v>142</v>
      </c>
      <c r="F16" s="4">
        <v>0</v>
      </c>
      <c r="G16" s="5"/>
      <c r="H16" s="6">
        <v>0</v>
      </c>
      <c r="I16" s="3" t="s">
        <v>248</v>
      </c>
      <c r="J16" s="7" t="s">
        <v>144</v>
      </c>
    </row>
    <row r="17" spans="1:10" ht="60" x14ac:dyDescent="0.25">
      <c r="A17" s="3" t="s">
        <v>56</v>
      </c>
      <c r="B17" s="3" t="s">
        <v>54</v>
      </c>
      <c r="C17" s="3" t="s">
        <v>159</v>
      </c>
      <c r="D17" s="3" t="s">
        <v>35</v>
      </c>
      <c r="E17" s="3" t="s">
        <v>142</v>
      </c>
      <c r="F17" s="4">
        <v>0</v>
      </c>
      <c r="G17" s="5"/>
      <c r="H17" s="6">
        <v>0</v>
      </c>
      <c r="I17" s="3" t="s">
        <v>249</v>
      </c>
      <c r="J17" s="7" t="s">
        <v>224</v>
      </c>
    </row>
    <row r="18" spans="1:10" x14ac:dyDescent="0.25">
      <c r="A18" s="8" t="s">
        <v>60</v>
      </c>
      <c r="B18" s="9"/>
      <c r="C18" s="9"/>
      <c r="D18" s="9"/>
      <c r="E18" s="9"/>
      <c r="F18" s="9"/>
      <c r="G18" s="9"/>
      <c r="H18" s="9"/>
      <c r="I18" s="9"/>
      <c r="J18" s="9"/>
    </row>
    <row r="19" spans="1:10" ht="90" x14ac:dyDescent="0.25">
      <c r="A19" s="3" t="s">
        <v>61</v>
      </c>
      <c r="B19" s="3" t="s">
        <v>14</v>
      </c>
      <c r="C19" s="3" t="s">
        <v>161</v>
      </c>
      <c r="D19" s="3">
        <v>2</v>
      </c>
      <c r="E19" s="3" t="s">
        <v>142</v>
      </c>
      <c r="F19" s="4">
        <v>2</v>
      </c>
      <c r="G19" s="5"/>
      <c r="H19" s="6">
        <v>2</v>
      </c>
      <c r="I19" s="3" t="s">
        <v>250</v>
      </c>
      <c r="J19" s="7"/>
    </row>
    <row r="20" spans="1:10" ht="75" x14ac:dyDescent="0.25">
      <c r="A20" s="3" t="s">
        <v>65</v>
      </c>
      <c r="B20" s="3" t="s">
        <v>54</v>
      </c>
      <c r="C20" s="3" t="s">
        <v>163</v>
      </c>
      <c r="D20" s="3" t="s">
        <v>35</v>
      </c>
      <c r="E20" s="3" t="s">
        <v>142</v>
      </c>
      <c r="F20" s="4">
        <v>2</v>
      </c>
      <c r="G20" s="5"/>
      <c r="H20" s="6">
        <v>2</v>
      </c>
      <c r="I20" s="3" t="s">
        <v>251</v>
      </c>
      <c r="J20" s="7"/>
    </row>
    <row r="21" spans="1:10" ht="75" x14ac:dyDescent="0.25">
      <c r="A21" s="3" t="s">
        <v>69</v>
      </c>
      <c r="B21" s="3" t="s">
        <v>54</v>
      </c>
      <c r="C21" s="3" t="s">
        <v>165</v>
      </c>
      <c r="D21" s="3" t="s">
        <v>35</v>
      </c>
      <c r="E21" s="3" t="s">
        <v>142</v>
      </c>
      <c r="F21" s="4">
        <v>2</v>
      </c>
      <c r="G21" s="5"/>
      <c r="H21" s="6">
        <v>2</v>
      </c>
      <c r="I21" s="3" t="s">
        <v>252</v>
      </c>
      <c r="J21" s="7"/>
    </row>
    <row r="22" spans="1:10" x14ac:dyDescent="0.25">
      <c r="A22" s="8" t="s">
        <v>73</v>
      </c>
      <c r="B22" s="9"/>
      <c r="C22" s="9"/>
      <c r="D22" s="9"/>
      <c r="E22" s="9"/>
      <c r="F22" s="9"/>
      <c r="G22" s="9"/>
      <c r="H22" s="9"/>
      <c r="I22" s="9"/>
      <c r="J22" s="9"/>
    </row>
    <row r="23" spans="1:10" ht="75" x14ac:dyDescent="0.25">
      <c r="A23" s="3" t="s">
        <v>74</v>
      </c>
      <c r="B23" s="3" t="s">
        <v>14</v>
      </c>
      <c r="C23" s="3" t="s">
        <v>167</v>
      </c>
      <c r="D23" s="3">
        <v>2</v>
      </c>
      <c r="E23" s="3" t="s">
        <v>142</v>
      </c>
      <c r="F23" s="4">
        <v>2</v>
      </c>
      <c r="G23" s="5"/>
      <c r="H23" s="6">
        <v>2</v>
      </c>
      <c r="I23" s="3" t="s">
        <v>253</v>
      </c>
      <c r="J23" s="7"/>
    </row>
    <row r="24" spans="1:10" ht="75" x14ac:dyDescent="0.25">
      <c r="A24" s="3" t="s">
        <v>79</v>
      </c>
      <c r="B24" s="3" t="s">
        <v>14</v>
      </c>
      <c r="C24" s="3" t="s">
        <v>169</v>
      </c>
      <c r="D24" s="3">
        <v>2</v>
      </c>
      <c r="E24" s="3" t="s">
        <v>142</v>
      </c>
      <c r="F24" s="4">
        <v>2</v>
      </c>
      <c r="G24" s="5"/>
      <c r="H24" s="6">
        <v>2</v>
      </c>
      <c r="I24" s="3" t="s">
        <v>254</v>
      </c>
      <c r="J24" s="7"/>
    </row>
    <row r="25" spans="1:10" ht="75" x14ac:dyDescent="0.25">
      <c r="A25" s="3" t="s">
        <v>83</v>
      </c>
      <c r="B25" s="3" t="s">
        <v>34</v>
      </c>
      <c r="C25" s="3" t="s">
        <v>171</v>
      </c>
      <c r="D25" s="3" t="s">
        <v>35</v>
      </c>
      <c r="E25" s="3" t="s">
        <v>140</v>
      </c>
      <c r="F25" s="10">
        <v>0.91</v>
      </c>
      <c r="G25" s="11"/>
      <c r="H25" s="12">
        <v>0.91</v>
      </c>
      <c r="I25" s="3" t="s">
        <v>255</v>
      </c>
      <c r="J25" s="7" t="s">
        <v>144</v>
      </c>
    </row>
    <row r="26" spans="1:10" x14ac:dyDescent="0.25">
      <c r="A26" s="8" t="s">
        <v>87</v>
      </c>
      <c r="B26" s="9"/>
      <c r="C26" s="9"/>
      <c r="D26" s="9"/>
      <c r="E26" s="9"/>
      <c r="F26" s="9"/>
      <c r="G26" s="9"/>
      <c r="H26" s="9"/>
      <c r="I26" s="9"/>
      <c r="J26" s="9"/>
    </row>
    <row r="27" spans="1:10" ht="75" x14ac:dyDescent="0.25">
      <c r="A27" s="3" t="s">
        <v>88</v>
      </c>
      <c r="B27" s="3" t="s">
        <v>14</v>
      </c>
      <c r="C27" s="3" t="s">
        <v>173</v>
      </c>
      <c r="D27" s="3">
        <v>2</v>
      </c>
      <c r="E27" s="3" t="s">
        <v>142</v>
      </c>
      <c r="F27" s="4">
        <v>2</v>
      </c>
      <c r="G27" s="5"/>
      <c r="H27" s="6">
        <v>2</v>
      </c>
      <c r="I27" s="3" t="s">
        <v>256</v>
      </c>
      <c r="J27" s="7"/>
    </row>
    <row r="28" spans="1:10" ht="105" x14ac:dyDescent="0.25">
      <c r="A28" s="3" t="s">
        <v>93</v>
      </c>
      <c r="B28" s="3" t="s">
        <v>96</v>
      </c>
      <c r="C28" s="3" t="s">
        <v>175</v>
      </c>
      <c r="D28" s="3">
        <v>1</v>
      </c>
      <c r="E28" s="3" t="s">
        <v>142</v>
      </c>
      <c r="F28" s="4">
        <v>2</v>
      </c>
      <c r="G28" s="5"/>
      <c r="H28" s="6">
        <v>2</v>
      </c>
      <c r="I28" s="3" t="s">
        <v>524</v>
      </c>
      <c r="J28" s="7"/>
    </row>
    <row r="29" spans="1:10" ht="75" x14ac:dyDescent="0.25">
      <c r="A29" s="3" t="s">
        <v>98</v>
      </c>
      <c r="B29" s="3" t="s">
        <v>14</v>
      </c>
      <c r="C29" s="3" t="s">
        <v>177</v>
      </c>
      <c r="D29" s="3">
        <v>2</v>
      </c>
      <c r="E29" s="3" t="s">
        <v>142</v>
      </c>
      <c r="F29" s="4">
        <v>2</v>
      </c>
      <c r="G29" s="5"/>
      <c r="H29" s="6">
        <v>2</v>
      </c>
      <c r="I29" s="3" t="s">
        <v>257</v>
      </c>
      <c r="J29" s="7"/>
    </row>
    <row r="30" spans="1:10" ht="75" x14ac:dyDescent="0.25">
      <c r="A30" s="3" t="s">
        <v>102</v>
      </c>
      <c r="B30" s="3" t="s">
        <v>14</v>
      </c>
      <c r="C30" s="3" t="s">
        <v>179</v>
      </c>
      <c r="D30" s="3">
        <v>2</v>
      </c>
      <c r="E30" s="3" t="s">
        <v>142</v>
      </c>
      <c r="F30" s="4">
        <v>2</v>
      </c>
      <c r="G30" s="5"/>
      <c r="H30" s="6">
        <v>2</v>
      </c>
      <c r="I30" s="3" t="s">
        <v>258</v>
      </c>
      <c r="J30" s="7"/>
    </row>
    <row r="31" spans="1:10" ht="75" x14ac:dyDescent="0.25">
      <c r="A31" s="3" t="s">
        <v>106</v>
      </c>
      <c r="B31" s="3" t="s">
        <v>54</v>
      </c>
      <c r="C31" s="3" t="s">
        <v>181</v>
      </c>
      <c r="D31" s="3" t="s">
        <v>35</v>
      </c>
      <c r="E31" s="3" t="s">
        <v>142</v>
      </c>
      <c r="F31" s="4">
        <v>1</v>
      </c>
      <c r="G31" s="5"/>
      <c r="H31" s="6">
        <v>1</v>
      </c>
      <c r="I31" s="3" t="s">
        <v>259</v>
      </c>
      <c r="J31" s="7" t="s">
        <v>144</v>
      </c>
    </row>
    <row r="32" spans="1:10" x14ac:dyDescent="0.25">
      <c r="A32" s="8" t="s">
        <v>109</v>
      </c>
      <c r="B32" s="9"/>
      <c r="C32" s="9"/>
      <c r="D32" s="9"/>
      <c r="E32" s="9"/>
      <c r="F32" s="9"/>
      <c r="G32" s="9"/>
      <c r="H32" s="9"/>
      <c r="I32" s="9"/>
      <c r="J32" s="9"/>
    </row>
    <row r="33" spans="1:10" ht="90" x14ac:dyDescent="0.25">
      <c r="A33" s="3" t="s">
        <v>110</v>
      </c>
      <c r="B33" s="3" t="s">
        <v>14</v>
      </c>
      <c r="C33" s="3" t="s">
        <v>183</v>
      </c>
      <c r="D33" s="3">
        <v>2</v>
      </c>
      <c r="E33" s="3" t="s">
        <v>142</v>
      </c>
      <c r="F33" s="4">
        <v>2</v>
      </c>
      <c r="G33" s="5"/>
      <c r="H33" s="6">
        <v>2</v>
      </c>
      <c r="I33" s="3" t="s">
        <v>260</v>
      </c>
      <c r="J33" s="7"/>
    </row>
    <row r="34" spans="1:10" ht="120" x14ac:dyDescent="0.25">
      <c r="A34" s="3" t="s">
        <v>115</v>
      </c>
      <c r="B34" s="3" t="s">
        <v>96</v>
      </c>
      <c r="C34" s="3" t="s">
        <v>185</v>
      </c>
      <c r="D34" s="3">
        <v>1</v>
      </c>
      <c r="E34" s="3" t="s">
        <v>142</v>
      </c>
      <c r="F34" s="4">
        <v>1</v>
      </c>
      <c r="G34" s="5"/>
      <c r="H34" s="6">
        <v>1</v>
      </c>
      <c r="I34" s="3" t="s">
        <v>261</v>
      </c>
      <c r="J34" s="7" t="s">
        <v>262</v>
      </c>
    </row>
    <row r="35" spans="1:10" ht="150" x14ac:dyDescent="0.25">
      <c r="A35" s="3" t="s">
        <v>119</v>
      </c>
      <c r="B35" s="3" t="s">
        <v>14</v>
      </c>
      <c r="C35" s="3" t="s">
        <v>187</v>
      </c>
      <c r="D35" s="3">
        <v>2</v>
      </c>
      <c r="E35" s="3" t="s">
        <v>142</v>
      </c>
      <c r="F35" s="4">
        <v>2</v>
      </c>
      <c r="G35" s="5"/>
      <c r="H35" s="6">
        <v>2</v>
      </c>
      <c r="I35" s="3" t="s">
        <v>263</v>
      </c>
      <c r="J35" s="7"/>
    </row>
    <row r="36" spans="1:10" ht="105" x14ac:dyDescent="0.25">
      <c r="A36" s="3" t="s">
        <v>123</v>
      </c>
      <c r="B36" s="3" t="s">
        <v>14</v>
      </c>
      <c r="C36" s="3" t="s">
        <v>189</v>
      </c>
      <c r="D36" s="3">
        <v>2</v>
      </c>
      <c r="E36" s="3" t="s">
        <v>140</v>
      </c>
      <c r="F36" s="4" t="s">
        <v>35</v>
      </c>
      <c r="G36" s="5">
        <v>2</v>
      </c>
      <c r="H36" s="6">
        <v>2</v>
      </c>
      <c r="I36" s="3" t="s">
        <v>520</v>
      </c>
      <c r="J36" s="7"/>
    </row>
    <row r="37" spans="1:10" ht="60" x14ac:dyDescent="0.25">
      <c r="A37" s="3" t="s">
        <v>127</v>
      </c>
      <c r="B37" s="3" t="s">
        <v>14</v>
      </c>
      <c r="C37" s="3" t="s">
        <v>191</v>
      </c>
      <c r="D37" s="3">
        <v>2</v>
      </c>
      <c r="E37" s="3" t="s">
        <v>142</v>
      </c>
      <c r="F37" s="4">
        <v>2</v>
      </c>
      <c r="G37" s="5"/>
      <c r="H37" s="6">
        <v>2</v>
      </c>
      <c r="I37" s="3" t="s">
        <v>264</v>
      </c>
      <c r="J37" s="7"/>
    </row>
    <row r="38" spans="1:10" x14ac:dyDescent="0.25">
      <c r="C38" s="34"/>
    </row>
    <row r="39" spans="1:10" x14ac:dyDescent="0.25">
      <c r="C39" s="34" t="s">
        <v>193</v>
      </c>
      <c r="H39" s="35"/>
    </row>
    <row r="40" spans="1:10" x14ac:dyDescent="0.25">
      <c r="C40" s="34" t="s">
        <v>194</v>
      </c>
      <c r="H40" s="35">
        <f>SUMPRODUCT(--(LEFT($B$5:$B$37,7)="Pflicht"))</f>
        <v>19</v>
      </c>
    </row>
    <row r="41" spans="1:10" x14ac:dyDescent="0.25">
      <c r="C41" s="34" t="s">
        <v>195</v>
      </c>
      <c r="H41" s="35">
        <f>SUMPRODUCT((LEFT($B$5:$B$37,7)="Pflicht")*ISNUMBER(H$5:H$37)*(H$5:H$37&gt;=$D$5:$D$37))</f>
        <v>17</v>
      </c>
    </row>
    <row r="42" spans="1:10" x14ac:dyDescent="0.25">
      <c r="C42" s="34" t="s">
        <v>196</v>
      </c>
      <c r="H42" s="35" t="str">
        <f>IF(SUMPRODUCT((LEFT($B$5:$B$37,7)="Pflicht")*(H$5:H$37=""))&gt;0,"noch offen",IF(H41=H40,"ja","nein"))</f>
        <v>nein</v>
      </c>
    </row>
    <row r="43" spans="1:10" x14ac:dyDescent="0.25">
      <c r="A43" s="34"/>
    </row>
    <row r="44" spans="1:10" x14ac:dyDescent="0.25">
      <c r="A44" s="56" t="s">
        <v>197</v>
      </c>
      <c r="B44" s="55"/>
      <c r="C44" s="55"/>
    </row>
    <row r="45" spans="1:10" x14ac:dyDescent="0.25">
      <c r="A45" s="56" t="s">
        <v>198</v>
      </c>
      <c r="B45" s="55"/>
      <c r="C45" s="55"/>
      <c r="D45" s="59">
        <v>46323</v>
      </c>
      <c r="E45" s="55"/>
      <c r="F45" s="55"/>
      <c r="G45" s="55"/>
      <c r="H45" s="55"/>
      <c r="I45" s="55"/>
      <c r="J45" s="55"/>
    </row>
    <row r="46" spans="1:10" x14ac:dyDescent="0.25">
      <c r="A46" s="56" t="s">
        <v>199</v>
      </c>
      <c r="B46" s="55"/>
      <c r="C46" s="55"/>
      <c r="D46" s="54" t="s">
        <v>200</v>
      </c>
      <c r="E46" s="55"/>
      <c r="F46" s="55"/>
      <c r="G46" s="55"/>
      <c r="H46" s="55"/>
      <c r="I46" s="55"/>
      <c r="J46" s="55"/>
    </row>
    <row r="47" spans="1:10" x14ac:dyDescent="0.25">
      <c r="A47" s="56" t="s">
        <v>201</v>
      </c>
      <c r="B47" s="55"/>
      <c r="C47" s="55"/>
      <c r="D47" s="54" t="s">
        <v>202</v>
      </c>
      <c r="E47" s="55"/>
      <c r="F47" s="55"/>
      <c r="G47" s="55"/>
      <c r="H47" s="55"/>
      <c r="I47" s="55"/>
      <c r="J47" s="55"/>
    </row>
    <row r="48" spans="1:10" x14ac:dyDescent="0.25">
      <c r="A48" s="56" t="s">
        <v>203</v>
      </c>
      <c r="B48" s="55"/>
      <c r="C48" s="55"/>
      <c r="D48" s="54" t="s">
        <v>265</v>
      </c>
      <c r="E48" s="55"/>
      <c r="F48" s="55"/>
      <c r="G48" s="55"/>
      <c r="H48" s="55"/>
      <c r="I48" s="55"/>
      <c r="J48" s="55"/>
    </row>
    <row r="49" spans="1:10" x14ac:dyDescent="0.25">
      <c r="A49" s="56" t="s">
        <v>205</v>
      </c>
      <c r="B49" s="55"/>
      <c r="C49" s="55"/>
      <c r="D49" s="54" t="s">
        <v>206</v>
      </c>
      <c r="E49" s="55"/>
      <c r="F49" s="55"/>
      <c r="G49" s="55"/>
      <c r="H49" s="55"/>
      <c r="I49" s="55"/>
      <c r="J49" s="55"/>
    </row>
    <row r="50" spans="1:10" ht="15" customHeight="1" x14ac:dyDescent="0.25">
      <c r="A50" s="56" t="s">
        <v>526</v>
      </c>
      <c r="B50" s="55"/>
      <c r="C50" s="55"/>
      <c r="D50" s="54" t="s">
        <v>525</v>
      </c>
      <c r="E50" s="55"/>
      <c r="F50" s="55"/>
      <c r="G50" s="55"/>
      <c r="H50" s="55"/>
      <c r="I50" s="55"/>
      <c r="J50" s="55"/>
    </row>
    <row r="51" spans="1:10" x14ac:dyDescent="0.25">
      <c r="A51" s="56"/>
      <c r="B51" s="55"/>
      <c r="C51" s="55"/>
      <c r="D51" s="57"/>
      <c r="E51" s="55"/>
      <c r="F51" s="55"/>
      <c r="G51" s="55"/>
      <c r="H51" s="55"/>
      <c r="I51" s="55"/>
      <c r="J51" s="55"/>
    </row>
    <row r="52" spans="1:10" x14ac:dyDescent="0.25">
      <c r="A52" t="s">
        <v>241</v>
      </c>
    </row>
    <row r="53" spans="1:10" x14ac:dyDescent="0.25">
      <c r="A53" s="34" t="s">
        <v>208</v>
      </c>
      <c r="B53" s="60"/>
      <c r="C53" s="60"/>
      <c r="D53" s="60"/>
      <c r="E53" s="60"/>
      <c r="F53" s="60"/>
      <c r="G53" s="60"/>
      <c r="H53" s="60"/>
      <c r="I53" s="60"/>
      <c r="J53" s="60"/>
    </row>
    <row r="54" spans="1:10" x14ac:dyDescent="0.25">
      <c r="A54" s="36"/>
    </row>
    <row r="55" spans="1:10" x14ac:dyDescent="0.25">
      <c r="A55" s="36"/>
    </row>
    <row r="56" spans="1:10" x14ac:dyDescent="0.25">
      <c r="A56" s="36"/>
    </row>
    <row r="57" spans="1:10" x14ac:dyDescent="0.25">
      <c r="A57" s="36"/>
    </row>
  </sheetData>
  <mergeCells count="17">
    <mergeCell ref="D50:J50"/>
    <mergeCell ref="B53:J53"/>
    <mergeCell ref="A44:C44"/>
    <mergeCell ref="A51:C51"/>
    <mergeCell ref="D51:J51"/>
    <mergeCell ref="F3:J3"/>
    <mergeCell ref="A45:C45"/>
    <mergeCell ref="D45:J45"/>
    <mergeCell ref="A46:C46"/>
    <mergeCell ref="D46:J46"/>
    <mergeCell ref="A47:C47"/>
    <mergeCell ref="D47:J47"/>
    <mergeCell ref="A49:C49"/>
    <mergeCell ref="D49:J49"/>
    <mergeCell ref="A48:C48"/>
    <mergeCell ref="D48:J48"/>
    <mergeCell ref="A50:C50"/>
  </mergeCells>
  <dataValidations count="4">
    <dataValidation type="list" allowBlank="1" sqref="J27:J31 J33:J37" xr:uid="{C2FAB88F-A517-49D0-9085-39F64773FB44}">
      <formula1>"Im Prompt nicht verlangt,Anweisung nicht befolgt,Sachfehler,Widerspruch im Output"</formula1>
      <formula2>0</formula2>
    </dataValidation>
    <dataValidation type="list" allowBlank="1" sqref="F8:G10 F13:G17 F19:G21 F23:G24 F27:G31 F33:G35 F37 G36:G37" xr:uid="{ABC2506A-DF2E-4844-A05F-93881D424755}">
      <formula1>"0,1,2"</formula1>
      <formula2>0</formula2>
    </dataValidation>
    <dataValidation type="list" allowBlank="1" sqref="J6 J8:J11 J13:J17 J19:J21 J23:J25" xr:uid="{8A351758-2B43-4391-BDDB-4DC0C5EBF4BC}">
      <formula1>"Im Prompt nicht verlangt,Anweisung nicht befolgt,Sachfehler,Widerspruch im Output"</formula1>
    </dataValidation>
    <dataValidation type="list" allowBlank="1" sqref="G6" xr:uid="{B65F8888-6A31-44BF-A667-692A97D2CD21}">
      <formula1>"0,1,2"</formula1>
    </dataValidation>
  </dataValidations>
  <pageMargins left="0.7" right="0.7" top="0.78740157499999996" bottom="0.78740157499999996" header="0.3" footer="0.3"/>
  <pageSetup paperSize="9" scale="61"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7BBF-78A8-4FAB-AC4F-12E906C26746}">
  <sheetPr>
    <pageSetUpPr fitToPage="1"/>
  </sheetPr>
  <dimension ref="A1:J56"/>
  <sheetViews>
    <sheetView topLeftCell="A39" workbookViewId="0">
      <selection activeCell="D48" sqref="D48:J48"/>
    </sheetView>
  </sheetViews>
  <sheetFormatPr baseColWidth="10" defaultRowHeight="15" x14ac:dyDescent="0.25"/>
  <cols>
    <col min="1" max="1" width="6.140625" style="19" customWidth="1"/>
    <col min="2" max="2" width="12" style="19" customWidth="1"/>
    <col min="3" max="3" width="60" style="19" customWidth="1"/>
    <col min="4" max="4" width="9" style="19" customWidth="1"/>
    <col min="5" max="5" width="13.140625" style="19" customWidth="1"/>
    <col min="6" max="8" width="11.42578125" style="19"/>
    <col min="9" max="9" width="57.28515625" style="19" customWidth="1"/>
    <col min="10" max="10" width="22.140625" style="19" bestFit="1" customWidth="1"/>
    <col min="11" max="16384" width="11.42578125" style="19"/>
  </cols>
  <sheetData>
    <row r="1" spans="1:10" ht="18.75" x14ac:dyDescent="0.25">
      <c r="A1" s="18" t="s">
        <v>266</v>
      </c>
    </row>
    <row r="3" spans="1:10" x14ac:dyDescent="0.25">
      <c r="F3" s="52" t="s">
        <v>132</v>
      </c>
      <c r="G3" s="50"/>
      <c r="H3" s="50"/>
      <c r="I3" s="50"/>
      <c r="J3" s="50"/>
    </row>
    <row r="4" spans="1:10" ht="30" x14ac:dyDescent="0.25">
      <c r="A4" s="20" t="s">
        <v>2</v>
      </c>
      <c r="B4" s="20" t="s">
        <v>5</v>
      </c>
      <c r="C4" s="20" t="s">
        <v>133</v>
      </c>
      <c r="D4" s="20" t="s">
        <v>134</v>
      </c>
      <c r="E4" s="20" t="s">
        <v>475</v>
      </c>
      <c r="F4" s="17" t="s">
        <v>518</v>
      </c>
      <c r="G4" s="20" t="s">
        <v>517</v>
      </c>
      <c r="H4" s="20" t="s">
        <v>136</v>
      </c>
      <c r="I4" s="20" t="s">
        <v>137</v>
      </c>
      <c r="J4" s="20" t="s">
        <v>138</v>
      </c>
    </row>
    <row r="5" spans="1:10" x14ac:dyDescent="0.25">
      <c r="A5" s="21" t="s">
        <v>10</v>
      </c>
      <c r="B5" s="22"/>
      <c r="C5" s="22"/>
      <c r="D5" s="22"/>
      <c r="E5" s="22"/>
      <c r="F5" s="22"/>
      <c r="G5" s="22"/>
      <c r="H5" s="22"/>
      <c r="I5" s="22"/>
      <c r="J5" s="22"/>
    </row>
    <row r="6" spans="1:10" ht="105" x14ac:dyDescent="0.25">
      <c r="A6" s="23" t="s">
        <v>11</v>
      </c>
      <c r="B6" s="23" t="s">
        <v>14</v>
      </c>
      <c r="C6" s="23" t="s">
        <v>139</v>
      </c>
      <c r="D6" s="23">
        <v>2</v>
      </c>
      <c r="E6" s="23" t="s">
        <v>140</v>
      </c>
      <c r="F6" s="24"/>
      <c r="G6" s="25">
        <v>2</v>
      </c>
      <c r="H6" s="26">
        <v>2</v>
      </c>
      <c r="I6" s="23"/>
      <c r="J6" s="27"/>
    </row>
    <row r="7" spans="1:10" x14ac:dyDescent="0.25">
      <c r="A7" s="21" t="s">
        <v>18</v>
      </c>
      <c r="B7" s="22"/>
      <c r="C7" s="22"/>
      <c r="D7" s="22"/>
      <c r="E7" s="22"/>
      <c r="F7" s="22"/>
      <c r="G7" s="22"/>
      <c r="H7" s="22"/>
      <c r="I7" s="22"/>
      <c r="J7" s="22"/>
    </row>
    <row r="8" spans="1:10" ht="120" x14ac:dyDescent="0.25">
      <c r="A8" s="23" t="s">
        <v>19</v>
      </c>
      <c r="B8" s="23" t="s">
        <v>14</v>
      </c>
      <c r="C8" s="23" t="s">
        <v>141</v>
      </c>
      <c r="D8" s="23">
        <v>2</v>
      </c>
      <c r="E8" s="23" t="s">
        <v>142</v>
      </c>
      <c r="F8" s="24">
        <v>2</v>
      </c>
      <c r="G8" s="25"/>
      <c r="H8" s="26">
        <v>2</v>
      </c>
      <c r="I8" s="23" t="s">
        <v>267</v>
      </c>
      <c r="J8" s="27"/>
    </row>
    <row r="9" spans="1:10" ht="120" x14ac:dyDescent="0.25">
      <c r="A9" s="23" t="s">
        <v>23</v>
      </c>
      <c r="B9" s="23" t="s">
        <v>14</v>
      </c>
      <c r="C9" s="23" t="s">
        <v>145</v>
      </c>
      <c r="D9" s="23">
        <v>2</v>
      </c>
      <c r="E9" s="23" t="s">
        <v>142</v>
      </c>
      <c r="F9" s="24">
        <v>2</v>
      </c>
      <c r="G9" s="25"/>
      <c r="H9" s="26">
        <v>2</v>
      </c>
      <c r="I9" s="23" t="s">
        <v>268</v>
      </c>
      <c r="J9" s="27"/>
    </row>
    <row r="10" spans="1:10" ht="75" x14ac:dyDescent="0.25">
      <c r="A10" s="23" t="s">
        <v>27</v>
      </c>
      <c r="B10" s="23" t="s">
        <v>14</v>
      </c>
      <c r="C10" s="23" t="s">
        <v>147</v>
      </c>
      <c r="D10" s="23">
        <v>2</v>
      </c>
      <c r="E10" s="23" t="s">
        <v>142</v>
      </c>
      <c r="F10" s="24">
        <v>2</v>
      </c>
      <c r="G10" s="25"/>
      <c r="H10" s="26">
        <v>2</v>
      </c>
      <c r="I10" s="23" t="s">
        <v>269</v>
      </c>
      <c r="J10" s="27"/>
    </row>
    <row r="11" spans="1:10" ht="75" x14ac:dyDescent="0.25">
      <c r="A11" s="23" t="s">
        <v>31</v>
      </c>
      <c r="B11" s="23" t="s">
        <v>34</v>
      </c>
      <c r="C11" s="23" t="s">
        <v>149</v>
      </c>
      <c r="D11" s="23" t="s">
        <v>35</v>
      </c>
      <c r="E11" s="23" t="s">
        <v>140</v>
      </c>
      <c r="F11" s="28">
        <v>0.79</v>
      </c>
      <c r="G11" s="29"/>
      <c r="H11" s="30">
        <v>0.79</v>
      </c>
      <c r="I11" s="23" t="s">
        <v>270</v>
      </c>
      <c r="J11" s="27"/>
    </row>
    <row r="12" spans="1:10" x14ac:dyDescent="0.25">
      <c r="A12" s="21" t="s">
        <v>37</v>
      </c>
      <c r="B12" s="22"/>
      <c r="C12" s="22"/>
      <c r="D12" s="22"/>
      <c r="E12" s="22"/>
      <c r="F12" s="22"/>
      <c r="G12" s="22"/>
      <c r="H12" s="22"/>
      <c r="I12" s="22"/>
      <c r="J12" s="22"/>
    </row>
    <row r="13" spans="1:10" ht="45" x14ac:dyDescent="0.25">
      <c r="A13" s="23" t="s">
        <v>38</v>
      </c>
      <c r="B13" s="23" t="s">
        <v>14</v>
      </c>
      <c r="C13" s="23" t="s">
        <v>151</v>
      </c>
      <c r="D13" s="23">
        <v>2</v>
      </c>
      <c r="E13" s="23" t="s">
        <v>142</v>
      </c>
      <c r="F13" s="24">
        <v>2</v>
      </c>
      <c r="G13" s="25"/>
      <c r="H13" s="26">
        <v>2</v>
      </c>
      <c r="I13" s="23" t="s">
        <v>271</v>
      </c>
      <c r="J13" s="27"/>
    </row>
    <row r="14" spans="1:10" ht="120" x14ac:dyDescent="0.25">
      <c r="A14" s="23" t="s">
        <v>43</v>
      </c>
      <c r="B14" s="23" t="s">
        <v>14</v>
      </c>
      <c r="C14" s="23" t="s">
        <v>153</v>
      </c>
      <c r="D14" s="23">
        <v>2</v>
      </c>
      <c r="E14" s="23" t="s">
        <v>142</v>
      </c>
      <c r="F14" s="24">
        <v>2</v>
      </c>
      <c r="G14" s="25">
        <v>0</v>
      </c>
      <c r="H14" s="26">
        <v>0</v>
      </c>
      <c r="I14" s="3" t="s">
        <v>527</v>
      </c>
      <c r="J14" s="27" t="s">
        <v>224</v>
      </c>
    </row>
    <row r="15" spans="1:10" ht="90" x14ac:dyDescent="0.25">
      <c r="A15" s="23" t="s">
        <v>47</v>
      </c>
      <c r="B15" s="23" t="s">
        <v>14</v>
      </c>
      <c r="C15" s="23" t="s">
        <v>154</v>
      </c>
      <c r="D15" s="23">
        <v>2</v>
      </c>
      <c r="E15" s="23" t="s">
        <v>142</v>
      </c>
      <c r="F15" s="24">
        <v>2</v>
      </c>
      <c r="G15" s="25"/>
      <c r="H15" s="26">
        <v>2</v>
      </c>
      <c r="I15" s="23" t="s">
        <v>272</v>
      </c>
      <c r="J15" s="27"/>
    </row>
    <row r="16" spans="1:10" ht="180" x14ac:dyDescent="0.25">
      <c r="A16" s="23" t="s">
        <v>51</v>
      </c>
      <c r="B16" s="23" t="s">
        <v>54</v>
      </c>
      <c r="C16" s="23" t="s">
        <v>156</v>
      </c>
      <c r="D16" s="23" t="s">
        <v>35</v>
      </c>
      <c r="E16" s="23" t="s">
        <v>142</v>
      </c>
      <c r="F16" s="24">
        <v>1</v>
      </c>
      <c r="G16" s="25"/>
      <c r="H16" s="26">
        <v>1</v>
      </c>
      <c r="I16" s="23" t="s">
        <v>273</v>
      </c>
      <c r="J16" s="27" t="s">
        <v>224</v>
      </c>
    </row>
    <row r="17" spans="1:10" ht="60" x14ac:dyDescent="0.25">
      <c r="A17" s="23" t="s">
        <v>56</v>
      </c>
      <c r="B17" s="23" t="s">
        <v>54</v>
      </c>
      <c r="C17" s="23" t="s">
        <v>159</v>
      </c>
      <c r="D17" s="23" t="s">
        <v>35</v>
      </c>
      <c r="E17" s="23" t="s">
        <v>142</v>
      </c>
      <c r="F17" s="24">
        <v>0</v>
      </c>
      <c r="G17" s="25"/>
      <c r="H17" s="26">
        <v>0</v>
      </c>
      <c r="I17" s="23" t="s">
        <v>274</v>
      </c>
      <c r="J17" s="27" t="s">
        <v>224</v>
      </c>
    </row>
    <row r="18" spans="1:10" x14ac:dyDescent="0.25">
      <c r="A18" s="21" t="s">
        <v>60</v>
      </c>
      <c r="B18" s="22"/>
      <c r="C18" s="22"/>
      <c r="D18" s="22"/>
      <c r="E18" s="22"/>
      <c r="F18" s="22"/>
      <c r="G18" s="22"/>
      <c r="H18" s="22"/>
      <c r="I18" s="22"/>
      <c r="J18" s="22"/>
    </row>
    <row r="19" spans="1:10" ht="90" x14ac:dyDescent="0.25">
      <c r="A19" s="23" t="s">
        <v>61</v>
      </c>
      <c r="B19" s="23" t="s">
        <v>14</v>
      </c>
      <c r="C19" s="23" t="s">
        <v>161</v>
      </c>
      <c r="D19" s="23">
        <v>2</v>
      </c>
      <c r="E19" s="23" t="s">
        <v>142</v>
      </c>
      <c r="F19" s="24">
        <v>2</v>
      </c>
      <c r="G19" s="25"/>
      <c r="H19" s="26">
        <v>2</v>
      </c>
      <c r="I19" s="23" t="s">
        <v>275</v>
      </c>
      <c r="J19" s="27"/>
    </row>
    <row r="20" spans="1:10" ht="75" x14ac:dyDescent="0.25">
      <c r="A20" s="23" t="s">
        <v>65</v>
      </c>
      <c r="B20" s="23" t="s">
        <v>54</v>
      </c>
      <c r="C20" s="23" t="s">
        <v>163</v>
      </c>
      <c r="D20" s="23" t="s">
        <v>35</v>
      </c>
      <c r="E20" s="23" t="s">
        <v>142</v>
      </c>
      <c r="F20" s="24">
        <v>2</v>
      </c>
      <c r="G20" s="25"/>
      <c r="H20" s="26">
        <v>2</v>
      </c>
      <c r="I20" s="23" t="s">
        <v>276</v>
      </c>
      <c r="J20" s="27"/>
    </row>
    <row r="21" spans="1:10" ht="75" x14ac:dyDescent="0.25">
      <c r="A21" s="23" t="s">
        <v>69</v>
      </c>
      <c r="B21" s="23" t="s">
        <v>54</v>
      </c>
      <c r="C21" s="23" t="s">
        <v>165</v>
      </c>
      <c r="D21" s="23" t="s">
        <v>35</v>
      </c>
      <c r="E21" s="23" t="s">
        <v>142</v>
      </c>
      <c r="F21" s="24">
        <v>2</v>
      </c>
      <c r="G21" s="25"/>
      <c r="H21" s="26">
        <v>2</v>
      </c>
      <c r="I21" s="23" t="s">
        <v>277</v>
      </c>
      <c r="J21" s="27"/>
    </row>
    <row r="22" spans="1:10" x14ac:dyDescent="0.25">
      <c r="A22" s="21" t="s">
        <v>73</v>
      </c>
      <c r="B22" s="22"/>
      <c r="C22" s="22"/>
      <c r="D22" s="22"/>
      <c r="E22" s="22"/>
      <c r="F22" s="22"/>
      <c r="G22" s="22"/>
      <c r="H22" s="22"/>
      <c r="I22" s="22"/>
      <c r="J22" s="22"/>
    </row>
    <row r="23" spans="1:10" ht="75" x14ac:dyDescent="0.25">
      <c r="A23" s="23" t="s">
        <v>74</v>
      </c>
      <c r="B23" s="23" t="s">
        <v>14</v>
      </c>
      <c r="C23" s="23" t="s">
        <v>167</v>
      </c>
      <c r="D23" s="23">
        <v>2</v>
      </c>
      <c r="E23" s="23" t="s">
        <v>142</v>
      </c>
      <c r="F23" s="24">
        <v>2</v>
      </c>
      <c r="G23" s="25"/>
      <c r="H23" s="26">
        <v>2</v>
      </c>
      <c r="I23" s="23" t="s">
        <v>278</v>
      </c>
      <c r="J23" s="27"/>
    </row>
    <row r="24" spans="1:10" ht="75" x14ac:dyDescent="0.25">
      <c r="A24" s="23" t="s">
        <v>79</v>
      </c>
      <c r="B24" s="23" t="s">
        <v>14</v>
      </c>
      <c r="C24" s="23" t="s">
        <v>169</v>
      </c>
      <c r="D24" s="23">
        <v>2</v>
      </c>
      <c r="E24" s="23" t="s">
        <v>142</v>
      </c>
      <c r="F24" s="24">
        <v>2</v>
      </c>
      <c r="G24" s="25"/>
      <c r="H24" s="26">
        <v>2</v>
      </c>
      <c r="I24" s="23" t="s">
        <v>279</v>
      </c>
      <c r="J24" s="27"/>
    </row>
    <row r="25" spans="1:10" ht="75" x14ac:dyDescent="0.25">
      <c r="A25" s="23" t="s">
        <v>83</v>
      </c>
      <c r="B25" s="23" t="s">
        <v>34</v>
      </c>
      <c r="C25" s="23" t="s">
        <v>171</v>
      </c>
      <c r="D25" s="23" t="s">
        <v>35</v>
      </c>
      <c r="E25" s="23" t="s">
        <v>140</v>
      </c>
      <c r="F25" s="28">
        <v>1</v>
      </c>
      <c r="G25" s="29"/>
      <c r="H25" s="30">
        <v>1</v>
      </c>
      <c r="I25" s="23" t="s">
        <v>280</v>
      </c>
      <c r="J25" s="27"/>
    </row>
    <row r="26" spans="1:10" x14ac:dyDescent="0.25">
      <c r="A26" s="21" t="s">
        <v>87</v>
      </c>
      <c r="B26" s="22"/>
      <c r="C26" s="22"/>
      <c r="D26" s="22"/>
      <c r="E26" s="22"/>
      <c r="F26" s="22"/>
      <c r="G26" s="22"/>
      <c r="H26" s="22"/>
      <c r="I26" s="22"/>
      <c r="J26" s="22"/>
    </row>
    <row r="27" spans="1:10" ht="75" x14ac:dyDescent="0.25">
      <c r="A27" s="23" t="s">
        <v>88</v>
      </c>
      <c r="B27" s="23" t="s">
        <v>14</v>
      </c>
      <c r="C27" s="23" t="s">
        <v>173</v>
      </c>
      <c r="D27" s="23">
        <v>2</v>
      </c>
      <c r="E27" s="23" t="s">
        <v>142</v>
      </c>
      <c r="F27" s="24">
        <v>2</v>
      </c>
      <c r="G27" s="25"/>
      <c r="H27" s="26">
        <v>2</v>
      </c>
      <c r="I27" s="23" t="s">
        <v>281</v>
      </c>
      <c r="J27" s="27"/>
    </row>
    <row r="28" spans="1:10" ht="105" x14ac:dyDescent="0.25">
      <c r="A28" s="23" t="s">
        <v>93</v>
      </c>
      <c r="B28" s="23" t="s">
        <v>96</v>
      </c>
      <c r="C28" s="23" t="s">
        <v>175</v>
      </c>
      <c r="D28" s="23">
        <v>1</v>
      </c>
      <c r="E28" s="23" t="s">
        <v>142</v>
      </c>
      <c r="F28" s="24">
        <v>2</v>
      </c>
      <c r="G28" s="25"/>
      <c r="H28" s="26">
        <v>2</v>
      </c>
      <c r="I28" s="23" t="s">
        <v>282</v>
      </c>
      <c r="J28" s="27"/>
    </row>
    <row r="29" spans="1:10" ht="60" x14ac:dyDescent="0.25">
      <c r="A29" s="23" t="s">
        <v>98</v>
      </c>
      <c r="B29" s="23" t="s">
        <v>14</v>
      </c>
      <c r="C29" s="23" t="s">
        <v>177</v>
      </c>
      <c r="D29" s="23">
        <v>2</v>
      </c>
      <c r="E29" s="23" t="s">
        <v>142</v>
      </c>
      <c r="F29" s="24">
        <v>2</v>
      </c>
      <c r="G29" s="25"/>
      <c r="H29" s="26">
        <v>2</v>
      </c>
      <c r="I29" s="23" t="s">
        <v>283</v>
      </c>
      <c r="J29" s="27"/>
    </row>
    <row r="30" spans="1:10" ht="75" x14ac:dyDescent="0.25">
      <c r="A30" s="23" t="s">
        <v>102</v>
      </c>
      <c r="B30" s="23" t="s">
        <v>14</v>
      </c>
      <c r="C30" s="23" t="s">
        <v>179</v>
      </c>
      <c r="D30" s="23">
        <v>2</v>
      </c>
      <c r="E30" s="23" t="s">
        <v>142</v>
      </c>
      <c r="F30" s="24">
        <v>2</v>
      </c>
      <c r="G30" s="25"/>
      <c r="H30" s="26">
        <v>2</v>
      </c>
      <c r="I30" s="3" t="s">
        <v>528</v>
      </c>
      <c r="J30" s="27"/>
    </row>
    <row r="31" spans="1:10" ht="75" x14ac:dyDescent="0.25">
      <c r="A31" s="23" t="s">
        <v>106</v>
      </c>
      <c r="B31" s="23" t="s">
        <v>54</v>
      </c>
      <c r="C31" s="23" t="s">
        <v>181</v>
      </c>
      <c r="D31" s="23" t="s">
        <v>35</v>
      </c>
      <c r="E31" s="23" t="s">
        <v>142</v>
      </c>
      <c r="F31" s="24">
        <v>2</v>
      </c>
      <c r="G31" s="25"/>
      <c r="H31" s="26">
        <v>2</v>
      </c>
      <c r="I31" s="23" t="s">
        <v>284</v>
      </c>
      <c r="J31" s="27"/>
    </row>
    <row r="32" spans="1:10" x14ac:dyDescent="0.25">
      <c r="A32" s="21" t="s">
        <v>109</v>
      </c>
      <c r="B32" s="22"/>
      <c r="C32" s="22"/>
      <c r="D32" s="22"/>
      <c r="E32" s="22"/>
      <c r="F32" s="22"/>
      <c r="G32" s="22"/>
      <c r="H32" s="22"/>
      <c r="I32" s="22"/>
      <c r="J32" s="22"/>
    </row>
    <row r="33" spans="1:10" ht="90" x14ac:dyDescent="0.25">
      <c r="A33" s="23" t="s">
        <v>110</v>
      </c>
      <c r="B33" s="23" t="s">
        <v>14</v>
      </c>
      <c r="C33" s="23" t="s">
        <v>183</v>
      </c>
      <c r="D33" s="23">
        <v>2</v>
      </c>
      <c r="E33" s="23" t="s">
        <v>142</v>
      </c>
      <c r="F33" s="24">
        <v>2</v>
      </c>
      <c r="G33" s="25"/>
      <c r="H33" s="26">
        <v>2</v>
      </c>
      <c r="I33" s="23" t="s">
        <v>285</v>
      </c>
      <c r="J33" s="27"/>
    </row>
    <row r="34" spans="1:10" ht="135" x14ac:dyDescent="0.25">
      <c r="A34" s="23" t="s">
        <v>115</v>
      </c>
      <c r="B34" s="23" t="s">
        <v>96</v>
      </c>
      <c r="C34" s="23" t="s">
        <v>185</v>
      </c>
      <c r="D34" s="23">
        <v>1</v>
      </c>
      <c r="E34" s="23" t="s">
        <v>142</v>
      </c>
      <c r="F34" s="24">
        <v>1</v>
      </c>
      <c r="G34" s="25"/>
      <c r="H34" s="26">
        <v>1</v>
      </c>
      <c r="I34" s="23" t="s">
        <v>286</v>
      </c>
      <c r="J34" s="27" t="s">
        <v>262</v>
      </c>
    </row>
    <row r="35" spans="1:10" ht="90" x14ac:dyDescent="0.25">
      <c r="A35" s="23" t="s">
        <v>119</v>
      </c>
      <c r="B35" s="23" t="s">
        <v>14</v>
      </c>
      <c r="C35" s="23" t="s">
        <v>187</v>
      </c>
      <c r="D35" s="23">
        <v>2</v>
      </c>
      <c r="E35" s="23" t="s">
        <v>142</v>
      </c>
      <c r="F35" s="24">
        <v>2</v>
      </c>
      <c r="G35" s="25"/>
      <c r="H35" s="26">
        <v>2</v>
      </c>
      <c r="I35" s="23" t="s">
        <v>287</v>
      </c>
      <c r="J35" s="27"/>
    </row>
    <row r="36" spans="1:10" ht="105" x14ac:dyDescent="0.25">
      <c r="A36" s="23" t="s">
        <v>123</v>
      </c>
      <c r="B36" s="23" t="s">
        <v>14</v>
      </c>
      <c r="C36" s="23" t="s">
        <v>189</v>
      </c>
      <c r="D36" s="23">
        <v>2</v>
      </c>
      <c r="E36" s="23" t="s">
        <v>140</v>
      </c>
      <c r="F36" s="24"/>
      <c r="G36" s="25">
        <v>2</v>
      </c>
      <c r="H36" s="26">
        <v>2</v>
      </c>
      <c r="I36" s="3" t="s">
        <v>520</v>
      </c>
      <c r="J36" s="27"/>
    </row>
    <row r="37" spans="1:10" ht="60" x14ac:dyDescent="0.25">
      <c r="A37" s="23" t="s">
        <v>127</v>
      </c>
      <c r="B37" s="23" t="s">
        <v>14</v>
      </c>
      <c r="C37" s="23" t="s">
        <v>191</v>
      </c>
      <c r="D37" s="23">
        <v>2</v>
      </c>
      <c r="E37" s="23" t="s">
        <v>142</v>
      </c>
      <c r="F37" s="24">
        <v>2</v>
      </c>
      <c r="G37" s="25"/>
      <c r="H37" s="26">
        <v>2</v>
      </c>
      <c r="I37" s="23" t="s">
        <v>288</v>
      </c>
      <c r="J37" s="27"/>
    </row>
    <row r="38" spans="1:10" x14ac:dyDescent="0.25">
      <c r="C38" s="31"/>
    </row>
    <row r="39" spans="1:10" x14ac:dyDescent="0.25">
      <c r="C39" s="31" t="s">
        <v>193</v>
      </c>
      <c r="H39" s="32"/>
    </row>
    <row r="40" spans="1:10" x14ac:dyDescent="0.25">
      <c r="C40" s="31" t="s">
        <v>194</v>
      </c>
      <c r="H40" s="32">
        <f>SUMPRODUCT(--(LEFT($B$5:$B$37,7)="Pflicht"))</f>
        <v>19</v>
      </c>
    </row>
    <row r="41" spans="1:10" x14ac:dyDescent="0.25">
      <c r="C41" s="31" t="s">
        <v>195</v>
      </c>
      <c r="H41" s="32">
        <f>SUMPRODUCT((LEFT($B$5:$B$37,7)="Pflicht")*ISNUMBER(H$5:H$37)*(H$5:H$37&gt;=$D$5:$D$37))</f>
        <v>18</v>
      </c>
    </row>
    <row r="42" spans="1:10" x14ac:dyDescent="0.25">
      <c r="C42" s="31" t="s">
        <v>196</v>
      </c>
      <c r="H42" s="32" t="str">
        <f>IF(SUMPRODUCT((LEFT($B$5:$B$37,7)="Pflicht")*(H$5:H$37=""))&gt;0,"noch offen",IF(H41=H40,"ja","nein"))</f>
        <v>nein</v>
      </c>
    </row>
    <row r="43" spans="1:10" x14ac:dyDescent="0.25">
      <c r="A43" s="31"/>
    </row>
    <row r="44" spans="1:10" x14ac:dyDescent="0.25">
      <c r="A44" s="49" t="s">
        <v>197</v>
      </c>
      <c r="B44" s="50"/>
      <c r="C44" s="50"/>
    </row>
    <row r="45" spans="1:10" x14ac:dyDescent="0.25">
      <c r="A45" s="49" t="s">
        <v>198</v>
      </c>
      <c r="B45" s="50"/>
      <c r="C45" s="50"/>
      <c r="D45" s="53">
        <v>46325</v>
      </c>
      <c r="E45" s="50"/>
      <c r="F45" s="50"/>
      <c r="G45" s="50"/>
      <c r="H45" s="50"/>
      <c r="I45" s="50"/>
      <c r="J45" s="50"/>
    </row>
    <row r="46" spans="1:10" x14ac:dyDescent="0.25">
      <c r="A46" s="49" t="s">
        <v>199</v>
      </c>
      <c r="B46" s="50"/>
      <c r="C46" s="50"/>
      <c r="D46" s="47" t="s">
        <v>200</v>
      </c>
      <c r="E46" s="50"/>
      <c r="F46" s="50"/>
      <c r="G46" s="50"/>
      <c r="H46" s="50"/>
      <c r="I46" s="50"/>
      <c r="J46" s="50"/>
    </row>
    <row r="47" spans="1:10" x14ac:dyDescent="0.25">
      <c r="A47" s="49" t="s">
        <v>201</v>
      </c>
      <c r="B47" s="50"/>
      <c r="C47" s="50"/>
      <c r="D47" s="47" t="s">
        <v>202</v>
      </c>
      <c r="E47" s="50"/>
      <c r="F47" s="50"/>
      <c r="G47" s="50"/>
      <c r="H47" s="50"/>
      <c r="I47" s="50"/>
      <c r="J47" s="50"/>
    </row>
    <row r="48" spans="1:10" ht="34.5" customHeight="1" x14ac:dyDescent="0.25">
      <c r="A48" s="49" t="s">
        <v>203</v>
      </c>
      <c r="B48" s="50"/>
      <c r="C48" s="50"/>
      <c r="D48" s="54" t="s">
        <v>541</v>
      </c>
      <c r="E48" s="55"/>
      <c r="F48" s="55"/>
      <c r="G48" s="55"/>
      <c r="H48" s="55"/>
      <c r="I48" s="55"/>
      <c r="J48" s="55"/>
    </row>
    <row r="49" spans="1:10" x14ac:dyDescent="0.25">
      <c r="A49" s="49" t="s">
        <v>205</v>
      </c>
      <c r="B49" s="50"/>
      <c r="C49" s="50"/>
      <c r="D49" s="47" t="s">
        <v>289</v>
      </c>
      <c r="E49" s="50"/>
      <c r="F49" s="50"/>
      <c r="G49" s="50"/>
      <c r="H49" s="50"/>
      <c r="I49" s="50"/>
      <c r="J49" s="50"/>
    </row>
    <row r="50" spans="1:10" ht="15" customHeight="1" x14ac:dyDescent="0.25">
      <c r="A50" s="56" t="s">
        <v>526</v>
      </c>
      <c r="B50" s="55"/>
      <c r="C50" s="55"/>
      <c r="D50" s="57" t="s">
        <v>529</v>
      </c>
      <c r="E50" s="55"/>
      <c r="F50" s="55"/>
      <c r="G50" s="55"/>
      <c r="H50" s="55"/>
      <c r="I50" s="55"/>
      <c r="J50" s="55"/>
    </row>
    <row r="52" spans="1:10" x14ac:dyDescent="0.25">
      <c r="A52" s="31" t="s">
        <v>241</v>
      </c>
    </row>
    <row r="53" spans="1:10" ht="81.75" customHeight="1" x14ac:dyDescent="0.25">
      <c r="A53" s="14" t="s">
        <v>208</v>
      </c>
      <c r="B53" s="47" t="s">
        <v>290</v>
      </c>
      <c r="C53" s="48"/>
      <c r="D53" s="47" t="s">
        <v>291</v>
      </c>
      <c r="E53" s="48"/>
      <c r="F53" s="48"/>
      <c r="G53" s="48"/>
      <c r="H53" s="48"/>
      <c r="I53" s="48"/>
      <c r="J53" s="48"/>
    </row>
    <row r="54" spans="1:10" x14ac:dyDescent="0.25">
      <c r="A54" s="33"/>
    </row>
    <row r="55" spans="1:10" x14ac:dyDescent="0.25">
      <c r="A55" s="33"/>
    </row>
    <row r="56" spans="1:10" x14ac:dyDescent="0.25">
      <c r="A56" s="33"/>
    </row>
  </sheetData>
  <mergeCells count="16">
    <mergeCell ref="F3:J3"/>
    <mergeCell ref="A45:C45"/>
    <mergeCell ref="D45:J45"/>
    <mergeCell ref="A46:C46"/>
    <mergeCell ref="D46:J46"/>
    <mergeCell ref="A44:C44"/>
    <mergeCell ref="A47:C47"/>
    <mergeCell ref="D47:J47"/>
    <mergeCell ref="D53:J53"/>
    <mergeCell ref="B53:C53"/>
    <mergeCell ref="A48:C48"/>
    <mergeCell ref="D48:J48"/>
    <mergeCell ref="A49:C49"/>
    <mergeCell ref="D49:J49"/>
    <mergeCell ref="A50:C50"/>
    <mergeCell ref="D50:J50"/>
  </mergeCells>
  <dataValidations count="2">
    <dataValidation type="list" allowBlank="1" sqref="J6 J8:J11 J13:J17 J19:J21 J23:J25 J27:J31 J33:J37" xr:uid="{835F49D1-9968-4F1A-B5F5-0F84CC413DC3}">
      <formula1>"Im Prompt nicht verlangt,Anweisung nicht befolgt,Sachfehler,Widerspruch im Output"</formula1>
    </dataValidation>
    <dataValidation type="list" allowBlank="1" sqref="F8:G10 F13:G17 F19:G21 F23:G24 F27:G31 F33:F35 F37 G6 G33:G37" xr:uid="{85BFDF26-245A-478E-92D7-6CE4DD36D6BD}">
      <formula1>"0,1,2"</formula1>
    </dataValidation>
  </dataValidations>
  <pageMargins left="0.7" right="0.7" top="0.78740157499999996" bottom="0.78740157499999996" header="0.3" footer="0.3"/>
  <pageSetup paperSize="9" scale="6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1CBD-DD99-4644-928C-59A07F0E4DD5}">
  <sheetPr>
    <pageSetUpPr fitToPage="1"/>
  </sheetPr>
  <dimension ref="A1:AA62"/>
  <sheetViews>
    <sheetView topLeftCell="D37" zoomScale="80" zoomScaleNormal="80" workbookViewId="0">
      <selection activeCell="Y43" sqref="Y43"/>
    </sheetView>
  </sheetViews>
  <sheetFormatPr baseColWidth="10" defaultColWidth="9.140625" defaultRowHeight="15" x14ac:dyDescent="0.25"/>
  <cols>
    <col min="1" max="1" width="6" customWidth="1"/>
    <col min="2" max="2" width="12" customWidth="1"/>
    <col min="3" max="3" width="60" customWidth="1"/>
    <col min="4" max="4" width="8" customWidth="1"/>
    <col min="5" max="5" width="7" customWidth="1"/>
    <col min="6" max="6" width="9" customWidth="1"/>
    <col min="7" max="7" width="10" customWidth="1"/>
    <col min="8" max="8" width="9" customWidth="1"/>
    <col min="9" max="9" width="32" customWidth="1"/>
    <col min="10" max="10" width="22.7109375" bestFit="1" customWidth="1"/>
    <col min="11" max="11" width="9" customWidth="1"/>
    <col min="12" max="12" width="10" customWidth="1"/>
    <col min="13" max="13" width="9" customWidth="1"/>
    <col min="14" max="14" width="32" customWidth="1"/>
    <col min="15" max="15" width="22.7109375" bestFit="1" customWidth="1"/>
    <col min="16" max="16" width="9" customWidth="1"/>
    <col min="17" max="17" width="10" customWidth="1"/>
    <col min="18" max="18" width="9" customWidth="1"/>
    <col min="19" max="19" width="32" customWidth="1"/>
    <col min="20" max="20" width="22.7109375" bestFit="1" customWidth="1"/>
    <col min="21" max="21" width="9" customWidth="1"/>
    <col min="22" max="22" width="10" customWidth="1"/>
    <col min="23" max="23" width="9" customWidth="1"/>
    <col min="24" max="24" width="32" customWidth="1"/>
    <col min="25" max="25" width="22.7109375" bestFit="1" customWidth="1"/>
    <col min="26" max="27" width="11" customWidth="1"/>
  </cols>
  <sheetData>
    <row r="1" spans="1:27" ht="18.75" customHeight="1" x14ac:dyDescent="0.3">
      <c r="A1" s="15"/>
    </row>
    <row r="2" spans="1:27" ht="45" customHeight="1" x14ac:dyDescent="0.25">
      <c r="A2" s="46"/>
      <c r="B2" s="55"/>
      <c r="C2" s="55"/>
      <c r="D2" s="55"/>
      <c r="E2" s="55"/>
      <c r="F2" s="55"/>
      <c r="G2" s="55"/>
      <c r="H2" s="55"/>
      <c r="I2" s="55"/>
      <c r="J2" s="55"/>
    </row>
    <row r="4" spans="1:27" x14ac:dyDescent="0.25">
      <c r="F4" s="58" t="s">
        <v>292</v>
      </c>
      <c r="G4" s="55"/>
      <c r="H4" s="55"/>
      <c r="I4" s="55"/>
      <c r="J4" s="55"/>
      <c r="K4" s="58" t="s">
        <v>293</v>
      </c>
      <c r="L4" s="55"/>
      <c r="M4" s="55"/>
      <c r="N4" s="55"/>
      <c r="O4" s="55"/>
      <c r="P4" s="58" t="s">
        <v>476</v>
      </c>
      <c r="Q4" s="55"/>
      <c r="R4" s="55"/>
      <c r="S4" s="55"/>
      <c r="T4" s="55"/>
      <c r="U4" s="58" t="s">
        <v>477</v>
      </c>
      <c r="V4" s="55"/>
      <c r="W4" s="55"/>
      <c r="X4" s="55"/>
      <c r="Y4" s="55"/>
    </row>
    <row r="5" spans="1:27" ht="45" customHeight="1" x14ac:dyDescent="0.25">
      <c r="A5" s="17" t="s">
        <v>2</v>
      </c>
      <c r="B5" s="17" t="s">
        <v>5</v>
      </c>
      <c r="C5" s="17" t="s">
        <v>133</v>
      </c>
      <c r="D5" s="17" t="s">
        <v>134</v>
      </c>
      <c r="E5" s="17" t="s">
        <v>135</v>
      </c>
      <c r="F5" s="17" t="s">
        <v>518</v>
      </c>
      <c r="G5" s="20" t="s">
        <v>517</v>
      </c>
      <c r="H5" s="17" t="s">
        <v>136</v>
      </c>
      <c r="I5" s="17" t="s">
        <v>137</v>
      </c>
      <c r="J5" s="17" t="s">
        <v>138</v>
      </c>
      <c r="K5" s="17" t="s">
        <v>518</v>
      </c>
      <c r="L5" s="20" t="s">
        <v>517</v>
      </c>
      <c r="M5" s="17" t="s">
        <v>136</v>
      </c>
      <c r="N5" s="17" t="s">
        <v>137</v>
      </c>
      <c r="O5" s="17" t="s">
        <v>138</v>
      </c>
      <c r="P5" s="17" t="s">
        <v>518</v>
      </c>
      <c r="Q5" s="20" t="s">
        <v>517</v>
      </c>
      <c r="R5" s="17" t="s">
        <v>136</v>
      </c>
      <c r="S5" s="17" t="s">
        <v>137</v>
      </c>
      <c r="T5" s="17" t="s">
        <v>138</v>
      </c>
      <c r="U5" s="17" t="s">
        <v>518</v>
      </c>
      <c r="V5" s="20" t="s">
        <v>517</v>
      </c>
      <c r="W5" s="17" t="s">
        <v>136</v>
      </c>
      <c r="X5" s="17" t="s">
        <v>137</v>
      </c>
      <c r="Y5" s="17" t="s">
        <v>138</v>
      </c>
      <c r="Z5" s="37" t="s">
        <v>478</v>
      </c>
      <c r="AA5" s="37" t="s">
        <v>479</v>
      </c>
    </row>
    <row r="6" spans="1:27" x14ac:dyDescent="0.25">
      <c r="A6" s="8" t="s">
        <v>10</v>
      </c>
      <c r="B6" s="9"/>
      <c r="C6" s="9"/>
      <c r="D6" s="9"/>
      <c r="E6" s="9"/>
      <c r="F6" s="9"/>
      <c r="G6" s="9"/>
      <c r="H6" s="9"/>
      <c r="I6" s="9"/>
      <c r="J6" s="9"/>
      <c r="K6" s="9"/>
      <c r="L6" s="9"/>
      <c r="M6" s="9"/>
      <c r="N6" s="9"/>
      <c r="O6" s="9"/>
      <c r="P6" s="9"/>
      <c r="Q6" s="9"/>
      <c r="R6" s="9"/>
      <c r="S6" s="9"/>
      <c r="T6" s="9"/>
      <c r="U6" s="9"/>
      <c r="V6" s="9"/>
      <c r="W6" s="9"/>
      <c r="X6" s="9"/>
      <c r="Y6" s="9"/>
      <c r="Z6" s="9"/>
      <c r="AA6" s="9"/>
    </row>
    <row r="7" spans="1:27" ht="105" customHeight="1" x14ac:dyDescent="0.25">
      <c r="A7" s="3" t="s">
        <v>11</v>
      </c>
      <c r="B7" s="3" t="s">
        <v>14</v>
      </c>
      <c r="C7" s="3" t="s">
        <v>139</v>
      </c>
      <c r="D7" s="3">
        <v>2</v>
      </c>
      <c r="E7" s="3" t="s">
        <v>140</v>
      </c>
      <c r="F7" s="4">
        <v>2</v>
      </c>
      <c r="G7" s="5"/>
      <c r="H7" s="6">
        <f>IF(G7&lt;&gt;"",G7,IF(OR(F7="",F7="–"),"",F7))</f>
        <v>2</v>
      </c>
      <c r="I7" s="3" t="s">
        <v>530</v>
      </c>
      <c r="J7" s="7"/>
      <c r="K7" s="4">
        <v>2</v>
      </c>
      <c r="L7" s="5"/>
      <c r="M7" s="6">
        <v>2</v>
      </c>
      <c r="N7" s="3" t="s">
        <v>530</v>
      </c>
      <c r="O7" s="7"/>
      <c r="P7" s="4">
        <v>2</v>
      </c>
      <c r="Q7" s="5"/>
      <c r="R7" s="6">
        <v>2</v>
      </c>
      <c r="S7" s="3" t="s">
        <v>530</v>
      </c>
      <c r="T7" s="7"/>
      <c r="U7" s="4">
        <v>2</v>
      </c>
      <c r="V7" s="5"/>
      <c r="W7" s="6">
        <v>2</v>
      </c>
      <c r="X7" s="3" t="s">
        <v>530</v>
      </c>
      <c r="Y7" s="7"/>
      <c r="Z7" s="38">
        <f>IF(COUNT(H7,M7,R7,W7)=0,"",AVERAGE(H7,M7,R7,W7))</f>
        <v>2</v>
      </c>
      <c r="AA7" s="38">
        <f>IF(COUNT(H7,M7,R7,W7)=0,"",MAX(H7,M7,R7,W7)-MIN(H7,M7,R7,W7))</f>
        <v>0</v>
      </c>
    </row>
    <row r="8" spans="1:27" x14ac:dyDescent="0.25">
      <c r="A8" s="8" t="s">
        <v>18</v>
      </c>
      <c r="B8" s="9"/>
      <c r="C8" s="9"/>
      <c r="D8" s="9"/>
      <c r="E8" s="9"/>
      <c r="F8" s="9"/>
      <c r="G8" s="9"/>
      <c r="H8" s="9"/>
      <c r="I8" s="9"/>
      <c r="J8" s="9"/>
      <c r="K8" s="9"/>
      <c r="L8" s="9"/>
      <c r="M8" s="9"/>
      <c r="N8" s="9"/>
      <c r="O8" s="9"/>
      <c r="P8" s="9"/>
      <c r="Q8" s="9"/>
      <c r="R8" s="9"/>
      <c r="S8" s="9"/>
      <c r="T8" s="9"/>
      <c r="U8" s="9"/>
      <c r="V8" s="9"/>
      <c r="W8" s="9"/>
      <c r="X8" s="9"/>
      <c r="Y8" s="9"/>
      <c r="Z8" s="9"/>
      <c r="AA8" s="9"/>
    </row>
    <row r="9" spans="1:27" ht="120" customHeight="1" x14ac:dyDescent="0.25">
      <c r="A9" s="3" t="s">
        <v>19</v>
      </c>
      <c r="B9" s="3" t="s">
        <v>14</v>
      </c>
      <c r="C9" s="3" t="s">
        <v>141</v>
      </c>
      <c r="D9" s="3">
        <v>2</v>
      </c>
      <c r="E9" s="3" t="s">
        <v>142</v>
      </c>
      <c r="F9" s="4">
        <v>2</v>
      </c>
      <c r="G9" s="5"/>
      <c r="H9" s="6">
        <f>IF(G9&lt;&gt;"",G9,IF(OR(F9="",F9="–"),"",F9))</f>
        <v>2</v>
      </c>
      <c r="I9" s="3" t="s">
        <v>294</v>
      </c>
      <c r="J9" s="7"/>
      <c r="K9" s="4">
        <v>2</v>
      </c>
      <c r="L9" s="5"/>
      <c r="M9" s="6">
        <v>2</v>
      </c>
      <c r="N9" s="3" t="s">
        <v>295</v>
      </c>
      <c r="O9" s="7"/>
      <c r="P9" s="4">
        <v>2</v>
      </c>
      <c r="Q9" s="5"/>
      <c r="R9" s="6">
        <v>2</v>
      </c>
      <c r="S9" s="3" t="s">
        <v>480</v>
      </c>
      <c r="T9" s="7"/>
      <c r="U9" s="4">
        <v>2</v>
      </c>
      <c r="V9" s="5"/>
      <c r="W9" s="6">
        <v>2</v>
      </c>
      <c r="X9" s="3" t="s">
        <v>481</v>
      </c>
      <c r="Y9" s="7"/>
      <c r="Z9" s="38">
        <f>IF(COUNT(H9,M9,R9,W9)=0,"",AVERAGE(H9,M9,R9,W9))</f>
        <v>2</v>
      </c>
      <c r="AA9" s="38">
        <f>IF(COUNT(H9,M9,R9,W9)=0,"",MAX(H9,M9,R9,W9)-MIN(H9,M9,R9,W9))</f>
        <v>0</v>
      </c>
    </row>
    <row r="10" spans="1:27" ht="120" customHeight="1" x14ac:dyDescent="0.25">
      <c r="A10" s="3" t="s">
        <v>23</v>
      </c>
      <c r="B10" s="3" t="s">
        <v>14</v>
      </c>
      <c r="C10" s="3" t="s">
        <v>145</v>
      </c>
      <c r="D10" s="3">
        <v>2</v>
      </c>
      <c r="E10" s="3" t="s">
        <v>142</v>
      </c>
      <c r="F10" s="4">
        <v>2</v>
      </c>
      <c r="G10" s="5"/>
      <c r="H10" s="6">
        <f>IF(G10&lt;&gt;"",G10,IF(OR(F10="",F10="–"),"",F10))</f>
        <v>2</v>
      </c>
      <c r="I10" s="3" t="s">
        <v>296</v>
      </c>
      <c r="J10" s="7"/>
      <c r="K10" s="4">
        <v>2</v>
      </c>
      <c r="L10" s="5"/>
      <c r="M10" s="6">
        <v>2</v>
      </c>
      <c r="N10" s="3" t="s">
        <v>297</v>
      </c>
      <c r="O10" s="7"/>
      <c r="P10" s="4">
        <v>2</v>
      </c>
      <c r="Q10" s="5"/>
      <c r="R10" s="6">
        <v>2</v>
      </c>
      <c r="S10" s="3" t="s">
        <v>482</v>
      </c>
      <c r="T10" s="7"/>
      <c r="U10" s="4">
        <v>2</v>
      </c>
      <c r="V10" s="5"/>
      <c r="W10" s="6">
        <v>2</v>
      </c>
      <c r="X10" s="3" t="s">
        <v>483</v>
      </c>
      <c r="Y10" s="7"/>
      <c r="Z10" s="38">
        <f>IF(COUNT(H10,M10,R10,W10)=0,"",AVERAGE(H10,M10,R10,W10))</f>
        <v>2</v>
      </c>
      <c r="AA10" s="38">
        <f>IF(COUNT(H10,M10,R10,W10)=0,"",MAX(H10,M10,R10,W10)-MIN(H10,M10,R10,W10))</f>
        <v>0</v>
      </c>
    </row>
    <row r="11" spans="1:27" ht="75" customHeight="1" x14ac:dyDescent="0.25">
      <c r="A11" s="3" t="s">
        <v>27</v>
      </c>
      <c r="B11" s="3" t="s">
        <v>14</v>
      </c>
      <c r="C11" s="3" t="s">
        <v>147</v>
      </c>
      <c r="D11" s="3">
        <v>2</v>
      </c>
      <c r="E11" s="3" t="s">
        <v>142</v>
      </c>
      <c r="F11" s="4">
        <v>2</v>
      </c>
      <c r="G11" s="5"/>
      <c r="H11" s="6">
        <f>IF(G11&lt;&gt;"",G11,IF(OR(F11="",F11="–"),"",F11))</f>
        <v>2</v>
      </c>
      <c r="I11" s="3" t="s">
        <v>298</v>
      </c>
      <c r="J11" s="7"/>
      <c r="K11" s="4">
        <v>2</v>
      </c>
      <c r="L11" s="5"/>
      <c r="M11" s="6">
        <v>2</v>
      </c>
      <c r="N11" s="3" t="s">
        <v>299</v>
      </c>
      <c r="O11" s="7"/>
      <c r="P11" s="4">
        <v>2</v>
      </c>
      <c r="Q11" s="5"/>
      <c r="R11" s="6">
        <v>2</v>
      </c>
      <c r="S11" s="3" t="s">
        <v>484</v>
      </c>
      <c r="T11" s="7"/>
      <c r="U11" s="4">
        <v>2</v>
      </c>
      <c r="V11" s="5"/>
      <c r="W11" s="6">
        <v>2</v>
      </c>
      <c r="X11" s="3" t="s">
        <v>485</v>
      </c>
      <c r="Y11" s="7"/>
      <c r="Z11" s="38">
        <f>IF(COUNT(H11,M11,R11,W11)=0,"",AVERAGE(H11,M11,R11,W11))</f>
        <v>2</v>
      </c>
      <c r="AA11" s="38">
        <f>IF(COUNT(H11,M11,R11,W11)=0,"",MAX(H11,M11,R11,W11)-MIN(H11,M11,R11,W11))</f>
        <v>0</v>
      </c>
    </row>
    <row r="12" spans="1:27" ht="75" customHeight="1" x14ac:dyDescent="0.25">
      <c r="A12" s="3" t="s">
        <v>31</v>
      </c>
      <c r="B12" s="3" t="s">
        <v>34</v>
      </c>
      <c r="C12" s="3" t="s">
        <v>149</v>
      </c>
      <c r="D12" s="3" t="s">
        <v>35</v>
      </c>
      <c r="E12" s="3" t="s">
        <v>140</v>
      </c>
      <c r="F12" s="10">
        <v>0.71</v>
      </c>
      <c r="G12" s="11"/>
      <c r="H12" s="12">
        <f>IF(G12&lt;&gt;"",G12,IF(OR(F12="",F12="–"),"",F12))</f>
        <v>0.71</v>
      </c>
      <c r="I12" s="3" t="s">
        <v>300</v>
      </c>
      <c r="J12" s="7" t="s">
        <v>144</v>
      </c>
      <c r="K12" s="10">
        <v>0.79</v>
      </c>
      <c r="L12" s="11"/>
      <c r="M12" s="12">
        <v>0.79</v>
      </c>
      <c r="N12" s="3" t="s">
        <v>301</v>
      </c>
      <c r="O12" s="7" t="s">
        <v>144</v>
      </c>
      <c r="P12" s="10">
        <v>0.79</v>
      </c>
      <c r="Q12" s="11"/>
      <c r="R12" s="12">
        <v>0.79</v>
      </c>
      <c r="S12" s="3" t="s">
        <v>301</v>
      </c>
      <c r="T12" s="7" t="s">
        <v>144</v>
      </c>
      <c r="U12" s="10">
        <v>0.86</v>
      </c>
      <c r="V12" s="11"/>
      <c r="W12" s="12">
        <v>0.86</v>
      </c>
      <c r="X12" s="3" t="s">
        <v>486</v>
      </c>
      <c r="Y12" s="7" t="s">
        <v>144</v>
      </c>
      <c r="Z12" s="39">
        <f>IF(COUNT(H12,M12,R12,W12)=0,"",AVERAGE(H12,M12,R12,W12))</f>
        <v>0.78749999999999998</v>
      </c>
      <c r="AA12" s="39">
        <f>IF(COUNT(H12,M12,R12,W12)=0,"",MAX(H12,M12,R12,W12)-MIN(H12,M12,R12,W12))</f>
        <v>0.15000000000000002</v>
      </c>
    </row>
    <row r="13" spans="1:27" x14ac:dyDescent="0.25">
      <c r="A13" s="8" t="s">
        <v>37</v>
      </c>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ht="45" customHeight="1" x14ac:dyDescent="0.25">
      <c r="A14" s="3" t="s">
        <v>38</v>
      </c>
      <c r="B14" s="3" t="s">
        <v>14</v>
      </c>
      <c r="C14" s="3" t="s">
        <v>151</v>
      </c>
      <c r="D14" s="3">
        <v>2</v>
      </c>
      <c r="E14" s="3" t="s">
        <v>142</v>
      </c>
      <c r="F14" s="4">
        <v>2</v>
      </c>
      <c r="G14" s="5"/>
      <c r="H14" s="6">
        <f>IF(G14&lt;&gt;"",G14,IF(OR(F14="",F14="–"),"",F14))</f>
        <v>2</v>
      </c>
      <c r="I14" s="3" t="s">
        <v>302</v>
      </c>
      <c r="J14" s="7"/>
      <c r="K14" s="4">
        <v>2</v>
      </c>
      <c r="L14" s="5"/>
      <c r="M14" s="6">
        <v>2</v>
      </c>
      <c r="N14" s="3" t="s">
        <v>303</v>
      </c>
      <c r="O14" s="7"/>
      <c r="P14" s="4">
        <v>2</v>
      </c>
      <c r="Q14" s="5"/>
      <c r="R14" s="6">
        <v>2</v>
      </c>
      <c r="S14" s="3" t="s">
        <v>487</v>
      </c>
      <c r="T14" s="7"/>
      <c r="U14" s="4">
        <v>2</v>
      </c>
      <c r="V14" s="5"/>
      <c r="W14" s="6">
        <v>2</v>
      </c>
      <c r="X14" s="3" t="s">
        <v>488</v>
      </c>
      <c r="Y14" s="7"/>
      <c r="Z14" s="38">
        <f>IF(COUNT(H14,M14,R14,W14)=0,"",AVERAGE(H14,M14,R14,W14))</f>
        <v>2</v>
      </c>
      <c r="AA14" s="38">
        <f>IF(COUNT(H14,M14,R14,W14)=0,"",MAX(H14,M14,R14,W14)-MIN(H14,M14,R14,W14))</f>
        <v>0</v>
      </c>
    </row>
    <row r="15" spans="1:27" ht="90" customHeight="1" x14ac:dyDescent="0.25">
      <c r="A15" s="3" t="s">
        <v>43</v>
      </c>
      <c r="B15" s="3" t="s">
        <v>14</v>
      </c>
      <c r="C15" s="3" t="s">
        <v>153</v>
      </c>
      <c r="D15" s="3">
        <v>2</v>
      </c>
      <c r="E15" s="3" t="s">
        <v>142</v>
      </c>
      <c r="F15" s="4">
        <v>2</v>
      </c>
      <c r="G15" s="5"/>
      <c r="H15" s="6">
        <f>IF(G15&lt;&gt;"",G15,IF(OR(F15="",F15="–"),"",F15))</f>
        <v>2</v>
      </c>
      <c r="I15" s="3" t="s">
        <v>531</v>
      </c>
      <c r="J15" s="7"/>
      <c r="K15" s="4">
        <v>0</v>
      </c>
      <c r="L15" s="5"/>
      <c r="M15" s="6">
        <v>0</v>
      </c>
      <c r="N15" s="3" t="s">
        <v>532</v>
      </c>
      <c r="O15" s="7" t="s">
        <v>224</v>
      </c>
      <c r="P15" s="4">
        <v>0</v>
      </c>
      <c r="Q15" s="5">
        <v>2</v>
      </c>
      <c r="R15" s="6">
        <v>2</v>
      </c>
      <c r="S15" s="3" t="s">
        <v>533</v>
      </c>
      <c r="T15" s="7"/>
      <c r="U15" s="4">
        <v>2</v>
      </c>
      <c r="V15" s="5"/>
      <c r="W15" s="6">
        <v>2</v>
      </c>
      <c r="X15" s="3" t="s">
        <v>537</v>
      </c>
      <c r="Y15" s="7"/>
      <c r="Z15" s="38">
        <f>IF(COUNT(H15,M15,R15,W15)=0,"",AVERAGE(H15,M15,R15,W15))</f>
        <v>1.5</v>
      </c>
      <c r="AA15" s="38">
        <f>IF(COUNT(H15,M15,R15,W15)=0,"",MAX(H15,M15,R15,W15)-MIN(H15,M15,R15,W15))</f>
        <v>2</v>
      </c>
    </row>
    <row r="16" spans="1:27" ht="90" customHeight="1" x14ac:dyDescent="0.25">
      <c r="A16" s="3" t="s">
        <v>47</v>
      </c>
      <c r="B16" s="3" t="s">
        <v>14</v>
      </c>
      <c r="C16" s="3" t="s">
        <v>154</v>
      </c>
      <c r="D16" s="3">
        <v>2</v>
      </c>
      <c r="E16" s="3" t="s">
        <v>142</v>
      </c>
      <c r="F16" s="4">
        <v>2</v>
      </c>
      <c r="G16" s="5"/>
      <c r="H16" s="6">
        <f>IF(G16&lt;&gt;"",G16,IF(OR(F16="",F16="–"),"",F16))</f>
        <v>2</v>
      </c>
      <c r="I16" s="3" t="s">
        <v>272</v>
      </c>
      <c r="J16" s="7"/>
      <c r="K16" s="4">
        <v>2</v>
      </c>
      <c r="L16" s="5"/>
      <c r="M16" s="6">
        <v>2</v>
      </c>
      <c r="N16" s="3" t="s">
        <v>304</v>
      </c>
      <c r="O16" s="7"/>
      <c r="P16" s="4">
        <v>2</v>
      </c>
      <c r="Q16" s="5"/>
      <c r="R16" s="6">
        <v>2</v>
      </c>
      <c r="S16" s="3" t="s">
        <v>272</v>
      </c>
      <c r="T16" s="7"/>
      <c r="U16" s="4">
        <v>2</v>
      </c>
      <c r="V16" s="5"/>
      <c r="W16" s="6">
        <v>2</v>
      </c>
      <c r="X16" s="3" t="s">
        <v>489</v>
      </c>
      <c r="Y16" s="7"/>
      <c r="Z16" s="38">
        <f>IF(COUNT(H16,M16,R16,W16)=0,"",AVERAGE(H16,M16,R16,W16))</f>
        <v>2</v>
      </c>
      <c r="AA16" s="38">
        <f>IF(COUNT(H16,M16,R16,W16)=0,"",MAX(H16,M16,R16,W16)-MIN(H16,M16,R16,W16))</f>
        <v>0</v>
      </c>
    </row>
    <row r="17" spans="1:27" ht="105" customHeight="1" x14ac:dyDescent="0.25">
      <c r="A17" s="3" t="s">
        <v>51</v>
      </c>
      <c r="B17" s="3" t="s">
        <v>54</v>
      </c>
      <c r="C17" s="3" t="s">
        <v>156</v>
      </c>
      <c r="D17" s="3" t="s">
        <v>35</v>
      </c>
      <c r="E17" s="3" t="s">
        <v>142</v>
      </c>
      <c r="F17" s="4">
        <v>2</v>
      </c>
      <c r="G17" s="5"/>
      <c r="H17" s="6">
        <f>IF(G17&lt;&gt;"",G17,IF(OR(F17="",F17="–"),"",F17))</f>
        <v>2</v>
      </c>
      <c r="I17" s="3" t="s">
        <v>305</v>
      </c>
      <c r="J17" s="7"/>
      <c r="K17" s="4">
        <v>2</v>
      </c>
      <c r="L17" s="5"/>
      <c r="M17" s="6">
        <v>2</v>
      </c>
      <c r="N17" s="3" t="s">
        <v>306</v>
      </c>
      <c r="O17" s="7"/>
      <c r="P17" s="4">
        <v>2</v>
      </c>
      <c r="Q17" s="5"/>
      <c r="R17" s="6">
        <v>2</v>
      </c>
      <c r="S17" s="3" t="s">
        <v>490</v>
      </c>
      <c r="T17" s="7"/>
      <c r="U17" s="4">
        <v>2</v>
      </c>
      <c r="V17" s="5"/>
      <c r="W17" s="6">
        <v>2</v>
      </c>
      <c r="X17" s="3" t="s">
        <v>491</v>
      </c>
      <c r="Y17" s="7"/>
      <c r="Z17" s="38">
        <f>IF(COUNT(H17,M17,R17,W17)=0,"",AVERAGE(H17,M17,R17,W17))</f>
        <v>2</v>
      </c>
      <c r="AA17" s="38">
        <f>IF(COUNT(H17,M17,R17,W17)=0,"",MAX(H17,M17,R17,W17)-MIN(H17,M17,R17,W17))</f>
        <v>0</v>
      </c>
    </row>
    <row r="18" spans="1:27" ht="60" customHeight="1" x14ac:dyDescent="0.25">
      <c r="A18" s="3" t="s">
        <v>56</v>
      </c>
      <c r="B18" s="3" t="s">
        <v>54</v>
      </c>
      <c r="C18" s="3" t="s">
        <v>159</v>
      </c>
      <c r="D18" s="3" t="s">
        <v>35</v>
      </c>
      <c r="E18" s="3" t="s">
        <v>142</v>
      </c>
      <c r="F18" s="4">
        <v>1</v>
      </c>
      <c r="G18" s="5"/>
      <c r="H18" s="6">
        <f>IF(G18&lt;&gt;"",G18,IF(OR(F18="",F18="–"),"",F18))</f>
        <v>1</v>
      </c>
      <c r="I18" s="3" t="s">
        <v>307</v>
      </c>
      <c r="J18" s="7" t="s">
        <v>224</v>
      </c>
      <c r="K18" s="4">
        <v>1</v>
      </c>
      <c r="L18" s="5"/>
      <c r="M18" s="6">
        <v>1</v>
      </c>
      <c r="N18" s="3" t="s">
        <v>308</v>
      </c>
      <c r="O18" s="7" t="s">
        <v>224</v>
      </c>
      <c r="P18" s="4">
        <v>0</v>
      </c>
      <c r="Q18" s="5"/>
      <c r="R18" s="6">
        <v>0</v>
      </c>
      <c r="S18" s="3" t="s">
        <v>492</v>
      </c>
      <c r="T18" s="7" t="s">
        <v>224</v>
      </c>
      <c r="U18" s="4">
        <v>1</v>
      </c>
      <c r="V18" s="5"/>
      <c r="W18" s="6">
        <v>1</v>
      </c>
      <c r="X18" s="3" t="s">
        <v>493</v>
      </c>
      <c r="Y18" s="7" t="s">
        <v>224</v>
      </c>
      <c r="Z18" s="38">
        <f>IF(COUNT(H18,M18,R18,W18)=0,"",AVERAGE(H18,M18,R18,W18))</f>
        <v>0.75</v>
      </c>
      <c r="AA18" s="38">
        <f>IF(COUNT(H18,M18,R18,W18)=0,"",MAX(H18,M18,R18,W18)-MIN(H18,M18,R18,W18))</f>
        <v>1</v>
      </c>
    </row>
    <row r="19" spans="1:27" x14ac:dyDescent="0.25">
      <c r="A19" s="8" t="s">
        <v>60</v>
      </c>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ht="90" customHeight="1" x14ac:dyDescent="0.25">
      <c r="A20" s="3" t="s">
        <v>61</v>
      </c>
      <c r="B20" s="3" t="s">
        <v>14</v>
      </c>
      <c r="C20" s="3" t="s">
        <v>161</v>
      </c>
      <c r="D20" s="3">
        <v>2</v>
      </c>
      <c r="E20" s="3" t="s">
        <v>142</v>
      </c>
      <c r="F20" s="4">
        <v>2</v>
      </c>
      <c r="G20" s="5"/>
      <c r="H20" s="6">
        <f>IF(G20&lt;&gt;"",G20,IF(OR(F20="",F20="–"),"",F20))</f>
        <v>2</v>
      </c>
      <c r="I20" s="3" t="s">
        <v>309</v>
      </c>
      <c r="J20" s="7"/>
      <c r="K20" s="4">
        <v>2</v>
      </c>
      <c r="L20" s="5"/>
      <c r="M20" s="6">
        <v>2</v>
      </c>
      <c r="N20" s="3" t="s">
        <v>310</v>
      </c>
      <c r="O20" s="7"/>
      <c r="P20" s="4">
        <v>2</v>
      </c>
      <c r="Q20" s="5"/>
      <c r="R20" s="6">
        <v>2</v>
      </c>
      <c r="S20" s="3" t="s">
        <v>494</v>
      </c>
      <c r="T20" s="7"/>
      <c r="U20" s="4">
        <v>2</v>
      </c>
      <c r="V20" s="5"/>
      <c r="W20" s="6">
        <v>2</v>
      </c>
      <c r="X20" s="3" t="s">
        <v>495</v>
      </c>
      <c r="Y20" s="7"/>
      <c r="Z20" s="38">
        <f>IF(COUNT(H20,M20,R20,W20)=0,"",AVERAGE(H20,M20,R20,W20))</f>
        <v>2</v>
      </c>
      <c r="AA20" s="38">
        <f>IF(COUNT(H20,M20,R20,W20)=0,"",MAX(H20,M20,R20,W20)-MIN(H20,M20,R20,W20))</f>
        <v>0</v>
      </c>
    </row>
    <row r="21" spans="1:27" ht="75" customHeight="1" x14ac:dyDescent="0.25">
      <c r="A21" s="3" t="s">
        <v>65</v>
      </c>
      <c r="B21" s="3" t="s">
        <v>54</v>
      </c>
      <c r="C21" s="3" t="s">
        <v>163</v>
      </c>
      <c r="D21" s="3" t="s">
        <v>35</v>
      </c>
      <c r="E21" s="3" t="s">
        <v>142</v>
      </c>
      <c r="F21" s="4">
        <v>2</v>
      </c>
      <c r="G21" s="5"/>
      <c r="H21" s="6">
        <f>IF(G21&lt;&gt;"",G21,IF(OR(F21="",F21="–"),"",F21))</f>
        <v>2</v>
      </c>
      <c r="I21" s="3" t="s">
        <v>311</v>
      </c>
      <c r="J21" s="7"/>
      <c r="K21" s="4">
        <v>2</v>
      </c>
      <c r="L21" s="5"/>
      <c r="M21" s="6">
        <v>2</v>
      </c>
      <c r="N21" s="3" t="s">
        <v>312</v>
      </c>
      <c r="O21" s="7"/>
      <c r="P21" s="4">
        <v>2</v>
      </c>
      <c r="Q21" s="5"/>
      <c r="R21" s="6">
        <v>2</v>
      </c>
      <c r="S21" s="3" t="s">
        <v>311</v>
      </c>
      <c r="T21" s="7"/>
      <c r="U21" s="4">
        <v>2</v>
      </c>
      <c r="V21" s="5"/>
      <c r="W21" s="6">
        <v>2</v>
      </c>
      <c r="X21" s="3" t="s">
        <v>496</v>
      </c>
      <c r="Y21" s="7"/>
      <c r="Z21" s="38">
        <f>IF(COUNT(H21,M21,R21,W21)=0,"",AVERAGE(H21,M21,R21,W21))</f>
        <v>2</v>
      </c>
      <c r="AA21" s="38">
        <f>IF(COUNT(H21,M21,R21,W21)=0,"",MAX(H21,M21,R21,W21)-MIN(H21,M21,R21,W21))</f>
        <v>0</v>
      </c>
    </row>
    <row r="22" spans="1:27" ht="75" customHeight="1" x14ac:dyDescent="0.25">
      <c r="A22" s="3" t="s">
        <v>69</v>
      </c>
      <c r="B22" s="3" t="s">
        <v>54</v>
      </c>
      <c r="C22" s="3" t="s">
        <v>165</v>
      </c>
      <c r="D22" s="3" t="s">
        <v>35</v>
      </c>
      <c r="E22" s="3" t="s">
        <v>142</v>
      </c>
      <c r="F22" s="4">
        <v>2</v>
      </c>
      <c r="G22" s="5"/>
      <c r="H22" s="6">
        <f>IF(G22&lt;&gt;"",G22,IF(OR(F22="",F22="–"),"",F22))</f>
        <v>2</v>
      </c>
      <c r="I22" s="3" t="s">
        <v>313</v>
      </c>
      <c r="J22" s="7"/>
      <c r="K22" s="4">
        <v>2</v>
      </c>
      <c r="L22" s="5"/>
      <c r="M22" s="6">
        <v>2</v>
      </c>
      <c r="N22" s="3" t="s">
        <v>314</v>
      </c>
      <c r="O22" s="7"/>
      <c r="P22" s="4">
        <v>2</v>
      </c>
      <c r="Q22" s="5"/>
      <c r="R22" s="6">
        <v>2</v>
      </c>
      <c r="S22" s="3" t="s">
        <v>314</v>
      </c>
      <c r="T22" s="7"/>
      <c r="U22" s="4">
        <v>2</v>
      </c>
      <c r="V22" s="5"/>
      <c r="W22" s="6">
        <v>2</v>
      </c>
      <c r="X22" s="3" t="s">
        <v>497</v>
      </c>
      <c r="Y22" s="7"/>
      <c r="Z22" s="38">
        <f>IF(COUNT(H22,M22,R22,W22)=0,"",AVERAGE(H22,M22,R22,W22))</f>
        <v>2</v>
      </c>
      <c r="AA22" s="38">
        <f>IF(COUNT(H22,M22,R22,W22)=0,"",MAX(H22,M22,R22,W22)-MIN(H22,M22,R22,W22))</f>
        <v>0</v>
      </c>
    </row>
    <row r="23" spans="1:27" x14ac:dyDescent="0.25">
      <c r="A23" s="8" t="s">
        <v>73</v>
      </c>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ht="75" customHeight="1" x14ac:dyDescent="0.25">
      <c r="A24" s="3" t="s">
        <v>74</v>
      </c>
      <c r="B24" s="3" t="s">
        <v>14</v>
      </c>
      <c r="C24" s="3" t="s">
        <v>167</v>
      </c>
      <c r="D24" s="3">
        <v>2</v>
      </c>
      <c r="E24" s="3" t="s">
        <v>142</v>
      </c>
      <c r="F24" s="4">
        <v>2</v>
      </c>
      <c r="G24" s="5"/>
      <c r="H24" s="6">
        <f>IF(G24&lt;&gt;"",G24,IF(OR(F24="",F24="–"),"",F24))</f>
        <v>2</v>
      </c>
      <c r="I24" s="3" t="s">
        <v>315</v>
      </c>
      <c r="J24" s="7"/>
      <c r="K24" s="4">
        <v>2</v>
      </c>
      <c r="L24" s="5"/>
      <c r="M24" s="6">
        <v>2</v>
      </c>
      <c r="N24" s="3" t="s">
        <v>316</v>
      </c>
      <c r="O24" s="7"/>
      <c r="P24" s="4">
        <v>2</v>
      </c>
      <c r="Q24" s="5"/>
      <c r="R24" s="6">
        <v>2</v>
      </c>
      <c r="S24" s="3" t="s">
        <v>498</v>
      </c>
      <c r="T24" s="7"/>
      <c r="U24" s="4">
        <v>2</v>
      </c>
      <c r="V24" s="5"/>
      <c r="W24" s="6">
        <v>2</v>
      </c>
      <c r="X24" s="3" t="s">
        <v>499</v>
      </c>
      <c r="Y24" s="7"/>
      <c r="Z24" s="38">
        <f>IF(COUNT(H24,M24,R24,W24)=0,"",AVERAGE(H24,M24,R24,W24))</f>
        <v>2</v>
      </c>
      <c r="AA24" s="38">
        <f>IF(COUNT(H24,M24,R24,W24)=0,"",MAX(H24,M24,R24,W24)-MIN(H24,M24,R24,W24))</f>
        <v>0</v>
      </c>
    </row>
    <row r="25" spans="1:27" ht="75" customHeight="1" x14ac:dyDescent="0.25">
      <c r="A25" s="3" t="s">
        <v>79</v>
      </c>
      <c r="B25" s="3" t="s">
        <v>14</v>
      </c>
      <c r="C25" s="3" t="s">
        <v>169</v>
      </c>
      <c r="D25" s="3">
        <v>2</v>
      </c>
      <c r="E25" s="3" t="s">
        <v>142</v>
      </c>
      <c r="F25" s="4">
        <v>2</v>
      </c>
      <c r="G25" s="5"/>
      <c r="H25" s="6">
        <f>IF(G25&lt;&gt;"",G25,IF(OR(F25="",F25="–"),"",F25))</f>
        <v>2</v>
      </c>
      <c r="I25" s="3" t="s">
        <v>317</v>
      </c>
      <c r="J25" s="7"/>
      <c r="K25" s="4">
        <v>2</v>
      </c>
      <c r="L25" s="5"/>
      <c r="M25" s="6">
        <v>2</v>
      </c>
      <c r="N25" s="3" t="s">
        <v>318</v>
      </c>
      <c r="O25" s="7"/>
      <c r="P25" s="4">
        <v>2</v>
      </c>
      <c r="Q25" s="5"/>
      <c r="R25" s="6">
        <v>2</v>
      </c>
      <c r="S25" s="3" t="s">
        <v>317</v>
      </c>
      <c r="T25" s="7"/>
      <c r="U25" s="4">
        <v>2</v>
      </c>
      <c r="V25" s="5"/>
      <c r="W25" s="6">
        <v>2</v>
      </c>
      <c r="X25" s="3" t="s">
        <v>500</v>
      </c>
      <c r="Y25" s="7"/>
      <c r="Z25" s="38">
        <f>IF(COUNT(H25,M25,R25,W25)=0,"",AVERAGE(H25,M25,R25,W25))</f>
        <v>2</v>
      </c>
      <c r="AA25" s="38">
        <f>IF(COUNT(H25,M25,R25,W25)=0,"",MAX(H25,M25,R25,W25)-MIN(H25,M25,R25,W25))</f>
        <v>0</v>
      </c>
    </row>
    <row r="26" spans="1:27" ht="75" customHeight="1" x14ac:dyDescent="0.25">
      <c r="A26" s="3" t="s">
        <v>83</v>
      </c>
      <c r="B26" s="3" t="s">
        <v>34</v>
      </c>
      <c r="C26" s="3" t="s">
        <v>171</v>
      </c>
      <c r="D26" s="3" t="s">
        <v>35</v>
      </c>
      <c r="E26" s="3" t="s">
        <v>140</v>
      </c>
      <c r="F26" s="10">
        <v>1</v>
      </c>
      <c r="G26" s="11"/>
      <c r="H26" s="12">
        <f>IF(G26&lt;&gt;"",G26,IF(OR(F26="",F26="–"),"",F26))</f>
        <v>1</v>
      </c>
      <c r="I26" s="3" t="s">
        <v>319</v>
      </c>
      <c r="J26" s="7"/>
      <c r="K26" s="10">
        <v>1</v>
      </c>
      <c r="L26" s="11"/>
      <c r="M26" s="12">
        <v>1</v>
      </c>
      <c r="N26" s="3" t="s">
        <v>320</v>
      </c>
      <c r="O26" s="7"/>
      <c r="P26" s="10">
        <v>1</v>
      </c>
      <c r="Q26" s="11"/>
      <c r="R26" s="12">
        <v>1</v>
      </c>
      <c r="S26" s="3" t="s">
        <v>320</v>
      </c>
      <c r="T26" s="7"/>
      <c r="U26" s="10">
        <v>1</v>
      </c>
      <c r="V26" s="11"/>
      <c r="W26" s="12">
        <v>1</v>
      </c>
      <c r="X26" s="3" t="s">
        <v>501</v>
      </c>
      <c r="Y26" s="7"/>
      <c r="Z26" s="39">
        <f>IF(COUNT(H26,M26,R26,W26)=0,"",AVERAGE(H26,M26,R26,W26))</f>
        <v>1</v>
      </c>
      <c r="AA26" s="39">
        <f>IF(COUNT(H26,M26,R26,W26)=0,"",MAX(H26,M26,R26,W26)-MIN(H26,M26,R26,W26))</f>
        <v>0</v>
      </c>
    </row>
    <row r="27" spans="1:27" x14ac:dyDescent="0.25">
      <c r="A27" s="8" t="s">
        <v>87</v>
      </c>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ht="75" customHeight="1" x14ac:dyDescent="0.25">
      <c r="A28" s="3" t="s">
        <v>88</v>
      </c>
      <c r="B28" s="3" t="s">
        <v>14</v>
      </c>
      <c r="C28" s="3" t="s">
        <v>173</v>
      </c>
      <c r="D28" s="3">
        <v>2</v>
      </c>
      <c r="E28" s="3" t="s">
        <v>142</v>
      </c>
      <c r="F28" s="4">
        <v>2</v>
      </c>
      <c r="G28" s="5"/>
      <c r="H28" s="6">
        <f>IF(G28&lt;&gt;"",G28,IF(OR(F28="",F28="–"),"",F28))</f>
        <v>2</v>
      </c>
      <c r="I28" s="3" t="s">
        <v>321</v>
      </c>
      <c r="J28" s="7"/>
      <c r="K28" s="4">
        <v>2</v>
      </c>
      <c r="L28" s="5"/>
      <c r="M28" s="6">
        <v>2</v>
      </c>
      <c r="N28" s="3" t="s">
        <v>322</v>
      </c>
      <c r="O28" s="7"/>
      <c r="P28" s="4">
        <v>2</v>
      </c>
      <c r="Q28" s="5"/>
      <c r="R28" s="6">
        <v>2</v>
      </c>
      <c r="S28" s="3" t="s">
        <v>502</v>
      </c>
      <c r="T28" s="7"/>
      <c r="U28" s="4">
        <v>2</v>
      </c>
      <c r="V28" s="5"/>
      <c r="W28" s="6">
        <v>2</v>
      </c>
      <c r="X28" s="3" t="s">
        <v>503</v>
      </c>
      <c r="Y28" s="7"/>
      <c r="Z28" s="38">
        <f>IF(COUNT(H28,M28,R28,W28)=0,"",AVERAGE(H28,M28,R28,W28))</f>
        <v>2</v>
      </c>
      <c r="AA28" s="38">
        <f>IF(COUNT(H28,M28,R28,W28)=0,"",MAX(H28,M28,R28,W28)-MIN(H28,M28,R28,W28))</f>
        <v>0</v>
      </c>
    </row>
    <row r="29" spans="1:27" ht="105" customHeight="1" x14ac:dyDescent="0.25">
      <c r="A29" s="3" t="s">
        <v>93</v>
      </c>
      <c r="B29" s="3" t="s">
        <v>96</v>
      </c>
      <c r="C29" s="3" t="s">
        <v>175</v>
      </c>
      <c r="D29" s="3">
        <v>1</v>
      </c>
      <c r="E29" s="3" t="s">
        <v>142</v>
      </c>
      <c r="F29" s="4">
        <v>1</v>
      </c>
      <c r="G29" s="5"/>
      <c r="H29" s="6">
        <f>IF(G29&lt;&gt;"",G29,IF(OR(F29="",F29="–"),"",F29))</f>
        <v>1</v>
      </c>
      <c r="I29" s="3" t="s">
        <v>323</v>
      </c>
      <c r="J29" s="7" t="s">
        <v>224</v>
      </c>
      <c r="K29" s="4">
        <v>1</v>
      </c>
      <c r="L29" s="5"/>
      <c r="M29" s="6">
        <v>1</v>
      </c>
      <c r="N29" s="3" t="s">
        <v>324</v>
      </c>
      <c r="O29" s="7" t="s">
        <v>224</v>
      </c>
      <c r="P29" s="4">
        <v>1</v>
      </c>
      <c r="Q29" s="5"/>
      <c r="R29" s="6">
        <v>1</v>
      </c>
      <c r="S29" s="3" t="s">
        <v>504</v>
      </c>
      <c r="T29" s="7" t="s">
        <v>224</v>
      </c>
      <c r="U29" s="4">
        <v>1</v>
      </c>
      <c r="V29" s="5"/>
      <c r="W29" s="6">
        <v>1</v>
      </c>
      <c r="X29" s="3" t="s">
        <v>505</v>
      </c>
      <c r="Y29" s="7" t="s">
        <v>224</v>
      </c>
      <c r="Z29" s="38">
        <f>IF(COUNT(H29,M29,R29,W29)=0,"",AVERAGE(H29,M29,R29,W29))</f>
        <v>1</v>
      </c>
      <c r="AA29" s="38">
        <f>IF(COUNT(H29,M29,R29,W29)=0,"",MAX(H29,M29,R29,W29)-MIN(H29,M29,R29,W29))</f>
        <v>0</v>
      </c>
    </row>
    <row r="30" spans="1:27" ht="60" customHeight="1" x14ac:dyDescent="0.25">
      <c r="A30" s="3" t="s">
        <v>98</v>
      </c>
      <c r="B30" s="3" t="s">
        <v>14</v>
      </c>
      <c r="C30" s="3" t="s">
        <v>177</v>
      </c>
      <c r="D30" s="3">
        <v>2</v>
      </c>
      <c r="E30" s="3" t="s">
        <v>142</v>
      </c>
      <c r="F30" s="4">
        <v>2</v>
      </c>
      <c r="G30" s="5"/>
      <c r="H30" s="6">
        <f>IF(G30&lt;&gt;"",G30,IF(OR(F30="",F30="–"),"",F30))</f>
        <v>2</v>
      </c>
      <c r="I30" s="3" t="s">
        <v>325</v>
      </c>
      <c r="J30" s="7"/>
      <c r="K30" s="4">
        <v>2</v>
      </c>
      <c r="L30" s="5"/>
      <c r="M30" s="6">
        <v>2</v>
      </c>
      <c r="N30" s="3" t="s">
        <v>326</v>
      </c>
      <c r="O30" s="7"/>
      <c r="P30" s="4">
        <v>2</v>
      </c>
      <c r="Q30" s="5"/>
      <c r="R30" s="6">
        <v>2</v>
      </c>
      <c r="S30" s="3" t="s">
        <v>506</v>
      </c>
      <c r="T30" s="7"/>
      <c r="U30" s="4">
        <v>2</v>
      </c>
      <c r="V30" s="5"/>
      <c r="W30" s="6">
        <v>2</v>
      </c>
      <c r="X30" s="3" t="s">
        <v>507</v>
      </c>
      <c r="Y30" s="7"/>
      <c r="Z30" s="38">
        <f>IF(COUNT(H30,M30,R30,W30)=0,"",AVERAGE(H30,M30,R30,W30))</f>
        <v>2</v>
      </c>
      <c r="AA30" s="38">
        <f>IF(COUNT(H30,M30,R30,W30)=0,"",MAX(H30,M30,R30,W30)-MIN(H30,M30,R30,W30))</f>
        <v>0</v>
      </c>
    </row>
    <row r="31" spans="1:27" ht="75" customHeight="1" x14ac:dyDescent="0.25">
      <c r="A31" s="3" t="s">
        <v>102</v>
      </c>
      <c r="B31" s="3" t="s">
        <v>14</v>
      </c>
      <c r="C31" s="3" t="s">
        <v>179</v>
      </c>
      <c r="D31" s="3">
        <v>2</v>
      </c>
      <c r="E31" s="3" t="s">
        <v>142</v>
      </c>
      <c r="F31" s="4">
        <v>2</v>
      </c>
      <c r="G31" s="5"/>
      <c r="H31" s="6">
        <f>IF(G31&lt;&gt;"",G31,IF(OR(F31="",F31="–"),"",F31))</f>
        <v>2</v>
      </c>
      <c r="I31" s="3" t="s">
        <v>327</v>
      </c>
      <c r="J31" s="7"/>
      <c r="K31" s="4">
        <v>2</v>
      </c>
      <c r="L31" s="5"/>
      <c r="M31" s="6">
        <v>2</v>
      </c>
      <c r="N31" s="3" t="s">
        <v>327</v>
      </c>
      <c r="O31" s="7"/>
      <c r="P31" s="4">
        <v>2</v>
      </c>
      <c r="Q31" s="5"/>
      <c r="R31" s="6">
        <v>2</v>
      </c>
      <c r="S31" s="3" t="s">
        <v>327</v>
      </c>
      <c r="T31" s="7"/>
      <c r="U31" s="4">
        <v>2</v>
      </c>
      <c r="V31" s="5"/>
      <c r="W31" s="6">
        <v>2</v>
      </c>
      <c r="X31" s="3" t="s">
        <v>327</v>
      </c>
      <c r="Y31" s="7"/>
      <c r="Z31" s="38">
        <f>IF(COUNT(H31,M31,R31,W31)=0,"",AVERAGE(H31,M31,R31,W31))</f>
        <v>2</v>
      </c>
      <c r="AA31" s="38">
        <f>IF(COUNT(H31,M31,R31,W31)=0,"",MAX(H31,M31,R31,W31)-MIN(H31,M31,R31,W31))</f>
        <v>0</v>
      </c>
    </row>
    <row r="32" spans="1:27" ht="75" customHeight="1" x14ac:dyDescent="0.25">
      <c r="A32" s="3" t="s">
        <v>106</v>
      </c>
      <c r="B32" s="3" t="s">
        <v>54</v>
      </c>
      <c r="C32" s="3" t="s">
        <v>181</v>
      </c>
      <c r="D32" s="3" t="s">
        <v>35</v>
      </c>
      <c r="E32" s="3" t="s">
        <v>142</v>
      </c>
      <c r="F32" s="4">
        <v>2</v>
      </c>
      <c r="G32" s="5"/>
      <c r="H32" s="6">
        <f>IF(G32&lt;&gt;"",G32,IF(OR(F32="",F32="–"),"",F32))</f>
        <v>2</v>
      </c>
      <c r="I32" s="3" t="s">
        <v>328</v>
      </c>
      <c r="J32" s="7"/>
      <c r="K32" s="4">
        <v>2</v>
      </c>
      <c r="L32" s="5"/>
      <c r="M32" s="6">
        <v>2</v>
      </c>
      <c r="N32" s="3" t="s">
        <v>329</v>
      </c>
      <c r="O32" s="7"/>
      <c r="P32" s="4">
        <v>2</v>
      </c>
      <c r="Q32" s="5"/>
      <c r="R32" s="6">
        <v>2</v>
      </c>
      <c r="S32" s="3" t="s">
        <v>508</v>
      </c>
      <c r="T32" s="7"/>
      <c r="U32" s="4">
        <v>2</v>
      </c>
      <c r="V32" s="5"/>
      <c r="W32" s="6">
        <v>2</v>
      </c>
      <c r="X32" s="3" t="s">
        <v>509</v>
      </c>
      <c r="Y32" s="7"/>
      <c r="Z32" s="38">
        <f>IF(COUNT(H32,M32,R32,W32)=0,"",AVERAGE(H32,M32,R32,W32))</f>
        <v>2</v>
      </c>
      <c r="AA32" s="38">
        <f>IF(COUNT(H32,M32,R32,W32)=0,"",MAX(H32,M32,R32,W32)-MIN(H32,M32,R32,W32))</f>
        <v>0</v>
      </c>
    </row>
    <row r="33" spans="1:27" x14ac:dyDescent="0.25">
      <c r="A33" s="8" t="s">
        <v>109</v>
      </c>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ht="90" customHeight="1" x14ac:dyDescent="0.25">
      <c r="A34" s="3" t="s">
        <v>110</v>
      </c>
      <c r="B34" s="3" t="s">
        <v>14</v>
      </c>
      <c r="C34" s="3" t="s">
        <v>183</v>
      </c>
      <c r="D34" s="3">
        <v>2</v>
      </c>
      <c r="E34" s="3" t="s">
        <v>142</v>
      </c>
      <c r="F34" s="4">
        <v>2</v>
      </c>
      <c r="G34" s="5"/>
      <c r="H34" s="6">
        <f>IF(G34&lt;&gt;"",G34,IF(OR(F34="",F34="–"),"",F34))</f>
        <v>2</v>
      </c>
      <c r="I34" s="3" t="s">
        <v>330</v>
      </c>
      <c r="J34" s="7"/>
      <c r="K34" s="4">
        <v>2</v>
      </c>
      <c r="L34" s="5"/>
      <c r="M34" s="6">
        <v>2</v>
      </c>
      <c r="N34" s="3" t="s">
        <v>331</v>
      </c>
      <c r="O34" s="7"/>
      <c r="P34" s="4">
        <v>2</v>
      </c>
      <c r="Q34" s="5"/>
      <c r="R34" s="6">
        <v>2</v>
      </c>
      <c r="S34" s="3" t="s">
        <v>510</v>
      </c>
      <c r="T34" s="7"/>
      <c r="U34" s="4">
        <v>2</v>
      </c>
      <c r="V34" s="5"/>
      <c r="W34" s="6">
        <v>2</v>
      </c>
      <c r="X34" s="3" t="s">
        <v>511</v>
      </c>
      <c r="Y34" s="7"/>
      <c r="Z34" s="38">
        <f>IF(COUNT(H34,M34,R34,W34)=0,"",AVERAGE(H34,M34,R34,W34))</f>
        <v>2</v>
      </c>
      <c r="AA34" s="38">
        <f>IF(COUNT(H34,M34,R34,W34)=0,"",MAX(H34,M34,R34,W34)-MIN(H34,M34,R34,W34))</f>
        <v>0</v>
      </c>
    </row>
    <row r="35" spans="1:27" ht="90" customHeight="1" x14ac:dyDescent="0.25">
      <c r="A35" s="3" t="s">
        <v>115</v>
      </c>
      <c r="B35" s="3" t="s">
        <v>96</v>
      </c>
      <c r="C35" s="3" t="s">
        <v>185</v>
      </c>
      <c r="D35" s="3">
        <v>1</v>
      </c>
      <c r="E35" s="3" t="s">
        <v>142</v>
      </c>
      <c r="F35" s="4">
        <v>2</v>
      </c>
      <c r="G35" s="5"/>
      <c r="H35" s="6">
        <f>IF(G35&lt;&gt;"",G35,IF(OR(F35="",F35="–"),"",F35))</f>
        <v>2</v>
      </c>
      <c r="I35" s="3" t="s">
        <v>534</v>
      </c>
      <c r="J35" s="7"/>
      <c r="K35" s="4">
        <v>1</v>
      </c>
      <c r="L35" s="5"/>
      <c r="M35" s="6">
        <v>1</v>
      </c>
      <c r="N35" s="3" t="s">
        <v>332</v>
      </c>
      <c r="O35" s="7" t="s">
        <v>262</v>
      </c>
      <c r="P35" s="4">
        <v>1</v>
      </c>
      <c r="Q35" s="5">
        <v>2</v>
      </c>
      <c r="R35" s="6">
        <v>2</v>
      </c>
      <c r="S35" s="3" t="s">
        <v>535</v>
      </c>
      <c r="T35" s="7"/>
      <c r="U35" s="4">
        <v>2</v>
      </c>
      <c r="V35" s="5"/>
      <c r="W35" s="6">
        <v>2</v>
      </c>
      <c r="X35" s="3" t="s">
        <v>536</v>
      </c>
      <c r="Y35" s="7"/>
      <c r="Z35" s="38">
        <f>IF(COUNT(H35,M35,R35,W35)=0,"",AVERAGE(H35,M35,R35,W35))</f>
        <v>1.75</v>
      </c>
      <c r="AA35" s="38">
        <f>IF(COUNT(H35,M35,R35,W35)=0,"",MAX(H35,M35,R35,W35)-MIN(H35,M35,R35,W35))</f>
        <v>1</v>
      </c>
    </row>
    <row r="36" spans="1:27" ht="60" customHeight="1" x14ac:dyDescent="0.25">
      <c r="A36" s="3" t="s">
        <v>119</v>
      </c>
      <c r="B36" s="3" t="s">
        <v>14</v>
      </c>
      <c r="C36" s="3" t="s">
        <v>187</v>
      </c>
      <c r="D36" s="3">
        <v>2</v>
      </c>
      <c r="E36" s="3" t="s">
        <v>142</v>
      </c>
      <c r="F36" s="4">
        <v>2</v>
      </c>
      <c r="G36" s="5"/>
      <c r="H36" s="6">
        <f>IF(G36&lt;&gt;"",G36,IF(OR(F36="",F36="–"),"",F36))</f>
        <v>2</v>
      </c>
      <c r="I36" s="3" t="s">
        <v>333</v>
      </c>
      <c r="J36" s="7"/>
      <c r="K36" s="4">
        <v>2</v>
      </c>
      <c r="L36" s="5"/>
      <c r="M36" s="6">
        <v>2</v>
      </c>
      <c r="N36" s="3" t="s">
        <v>334</v>
      </c>
      <c r="O36" s="7"/>
      <c r="P36" s="4">
        <v>2</v>
      </c>
      <c r="Q36" s="5"/>
      <c r="R36" s="6">
        <v>2</v>
      </c>
      <c r="S36" s="3" t="s">
        <v>512</v>
      </c>
      <c r="T36" s="7"/>
      <c r="U36" s="4">
        <v>2</v>
      </c>
      <c r="V36" s="5"/>
      <c r="W36" s="6">
        <v>2</v>
      </c>
      <c r="X36" s="3" t="s">
        <v>513</v>
      </c>
      <c r="Y36" s="7"/>
      <c r="Z36" s="38">
        <f>IF(COUNT(H36,M36,R36,W36)=0,"",AVERAGE(H36,M36,R36,W36))</f>
        <v>2</v>
      </c>
      <c r="AA36" s="38">
        <f>IF(COUNT(H36,M36,R36,W36)=0,"",MAX(H36,M36,R36,W36)-MIN(H36,M36,R36,W36))</f>
        <v>0</v>
      </c>
    </row>
    <row r="37" spans="1:27" ht="105" customHeight="1" x14ac:dyDescent="0.25">
      <c r="A37" s="3" t="s">
        <v>123</v>
      </c>
      <c r="B37" s="3" t="s">
        <v>14</v>
      </c>
      <c r="C37" s="3" t="s">
        <v>189</v>
      </c>
      <c r="D37" s="3">
        <v>2</v>
      </c>
      <c r="E37" s="3" t="s">
        <v>140</v>
      </c>
      <c r="F37" s="4">
        <v>2</v>
      </c>
      <c r="G37" s="5"/>
      <c r="H37" s="6">
        <f>IF(G37&lt;&gt;"",G37,IF(OR(F37="",F37="–"),"",F37))</f>
        <v>2</v>
      </c>
      <c r="I37" s="3" t="s">
        <v>538</v>
      </c>
      <c r="J37" s="7"/>
      <c r="K37" s="4">
        <v>2</v>
      </c>
      <c r="L37" s="5"/>
      <c r="M37" s="6">
        <v>2</v>
      </c>
      <c r="N37" s="3" t="s">
        <v>539</v>
      </c>
      <c r="O37" s="7"/>
      <c r="P37" s="4">
        <v>2</v>
      </c>
      <c r="Q37" s="5"/>
      <c r="R37" s="6">
        <v>2</v>
      </c>
      <c r="S37" s="3" t="s">
        <v>538</v>
      </c>
      <c r="T37" s="7"/>
      <c r="U37" s="4">
        <v>2</v>
      </c>
      <c r="V37" s="5"/>
      <c r="W37" s="6">
        <v>2</v>
      </c>
      <c r="X37" s="3" t="s">
        <v>540</v>
      </c>
      <c r="Y37" s="7"/>
      <c r="Z37" s="38">
        <f>IF(COUNT(H37,M37,R37,W37)=0,"",AVERAGE(H37,M37,R37,W37))</f>
        <v>2</v>
      </c>
      <c r="AA37" s="38">
        <f>IF(COUNT(H37,M37,R37,W37)=0,"",MAX(H37,M37,R37,W37)-MIN(H37,M37,R37,W37))</f>
        <v>0</v>
      </c>
    </row>
    <row r="38" spans="1:27" ht="60" customHeight="1" x14ac:dyDescent="0.25">
      <c r="A38" s="3" t="s">
        <v>127</v>
      </c>
      <c r="B38" s="3" t="s">
        <v>14</v>
      </c>
      <c r="C38" s="3" t="s">
        <v>191</v>
      </c>
      <c r="D38" s="3">
        <v>2</v>
      </c>
      <c r="E38" s="3" t="s">
        <v>142</v>
      </c>
      <c r="F38" s="4">
        <v>2</v>
      </c>
      <c r="G38" s="5"/>
      <c r="H38" s="6">
        <f>IF(G38&lt;&gt;"",G38,IF(OR(F38="",F38="–"),"",F38))</f>
        <v>2</v>
      </c>
      <c r="I38" s="3" t="s">
        <v>335</v>
      </c>
      <c r="J38" s="7"/>
      <c r="K38" s="4">
        <v>2</v>
      </c>
      <c r="L38" s="5"/>
      <c r="M38" s="6">
        <v>2</v>
      </c>
      <c r="N38" s="3" t="s">
        <v>336</v>
      </c>
      <c r="O38" s="7"/>
      <c r="P38" s="4">
        <v>2</v>
      </c>
      <c r="Q38" s="5"/>
      <c r="R38" s="6">
        <v>2</v>
      </c>
      <c r="S38" s="3" t="s">
        <v>514</v>
      </c>
      <c r="T38" s="7"/>
      <c r="U38" s="4">
        <v>2</v>
      </c>
      <c r="V38" s="5"/>
      <c r="W38" s="6">
        <v>2</v>
      </c>
      <c r="X38" s="3" t="s">
        <v>336</v>
      </c>
      <c r="Y38" s="7"/>
      <c r="Z38" s="38">
        <f>IF(COUNT(H38,M38,R38,W38)=0,"",AVERAGE(H38,M38,R38,W38))</f>
        <v>2</v>
      </c>
      <c r="AA38" s="38">
        <f>IF(COUNT(H38,M38,R38,W38)=0,"",MAX(H38,M38,R38,W38)-MIN(H38,M38,R38,W38))</f>
        <v>0</v>
      </c>
    </row>
    <row r="40" spans="1:27" x14ac:dyDescent="0.25">
      <c r="C40" s="34" t="s">
        <v>193</v>
      </c>
    </row>
    <row r="41" spans="1:27" x14ac:dyDescent="0.25">
      <c r="C41" s="34" t="s">
        <v>194</v>
      </c>
      <c r="H41" s="35">
        <f>SUMPRODUCT(--(LEFT($B$6:$B$38,7)="Pflicht"))</f>
        <v>19</v>
      </c>
      <c r="M41" s="35">
        <f>SUMPRODUCT(--(LEFT($B$6:$B$38,7)="Pflicht"))</f>
        <v>19</v>
      </c>
      <c r="R41" s="35">
        <f>SUMPRODUCT(--(LEFT($B$6:$B$38,7)="Pflicht"))</f>
        <v>19</v>
      </c>
      <c r="W41" s="35">
        <f>SUMPRODUCT(--(LEFT($B$6:$B$38,7)="Pflicht"))</f>
        <v>19</v>
      </c>
    </row>
    <row r="42" spans="1:27" x14ac:dyDescent="0.25">
      <c r="C42" s="34" t="s">
        <v>195</v>
      </c>
      <c r="H42" s="35">
        <f>SUMPRODUCT((LEFT($B$6:$B$38,7)="Pflicht")*ISNUMBER(H$6:H$38)*(H$6:H$38&gt;=$D$6:$D$38))</f>
        <v>19</v>
      </c>
      <c r="M42" s="35">
        <f>SUMPRODUCT((LEFT($B$6:$B$38,7)="Pflicht")*ISNUMBER(M$6:M$38)*(M$6:M$38&gt;=$D$6:$D$38))</f>
        <v>18</v>
      </c>
      <c r="R42" s="35">
        <f>SUMPRODUCT((LEFT($B$6:$B$38,7)="Pflicht")*ISNUMBER(R$6:R$38)*(R$6:R$38&gt;=$D$6:$D$38))</f>
        <v>19</v>
      </c>
      <c r="W42" s="35">
        <f>SUMPRODUCT((LEFT($B$6:$B$38,7)="Pflicht")*ISNUMBER(W$6:W$38)*(W$6:W$38&gt;=$D$6:$D$38))</f>
        <v>19</v>
      </c>
    </row>
    <row r="43" spans="1:27" x14ac:dyDescent="0.25">
      <c r="C43" s="34" t="s">
        <v>196</v>
      </c>
      <c r="H43" s="35" t="str">
        <f>IF(SUMPRODUCT((LEFT($B$6:$B$38,7)="Pflicht")*(H$6:H$38=""))&gt;0,"noch offen",IF(H42=H41,"ja","nein"))</f>
        <v>ja</v>
      </c>
      <c r="M43" s="35" t="str">
        <f>IF(SUMPRODUCT((LEFT($B$6:$B$38,7)="Pflicht")*(M$6:M$38=""))&gt;0,"noch offen",IF(M42=M41,"ja","nein"))</f>
        <v>nein</v>
      </c>
      <c r="R43" s="35" t="str">
        <f>IF(SUMPRODUCT((LEFT($B$6:$B$38,7)="Pflicht")*(R$6:R$38=""))&gt;0,"noch offen",IF(R42=R41,"ja","nein"))</f>
        <v>ja</v>
      </c>
      <c r="W43" s="35" t="str">
        <f>IF(SUMPRODUCT((LEFT($B$6:$B$38,7)="Pflicht")*(W$6:W$38=""))&gt;0,"noch offen",IF(W42=W41,"ja","nein"))</f>
        <v>ja</v>
      </c>
    </row>
    <row r="45" spans="1:27" x14ac:dyDescent="0.25">
      <c r="C45" s="34" t="s">
        <v>515</v>
      </c>
    </row>
    <row r="46" spans="1:27" x14ac:dyDescent="0.25">
      <c r="C46" t="s">
        <v>337</v>
      </c>
      <c r="H46" s="39">
        <v>0.5</v>
      </c>
    </row>
    <row r="47" spans="1:27" x14ac:dyDescent="0.25">
      <c r="C47" t="s">
        <v>338</v>
      </c>
      <c r="H47" s="39">
        <v>1</v>
      </c>
    </row>
    <row r="48" spans="1:27" x14ac:dyDescent="0.25">
      <c r="C48" t="s">
        <v>339</v>
      </c>
      <c r="H48" s="39">
        <v>0.75</v>
      </c>
    </row>
    <row r="50" spans="1:25" x14ac:dyDescent="0.25">
      <c r="A50" s="34"/>
    </row>
    <row r="51" spans="1:25" x14ac:dyDescent="0.25">
      <c r="A51" s="34" t="s">
        <v>197</v>
      </c>
    </row>
    <row r="52" spans="1:25" ht="30" customHeight="1" x14ac:dyDescent="0.25">
      <c r="A52" s="56" t="s">
        <v>340</v>
      </c>
      <c r="B52" s="55"/>
      <c r="C52" s="55"/>
      <c r="D52" s="47" t="s">
        <v>341</v>
      </c>
      <c r="E52" s="47"/>
      <c r="F52" s="47"/>
      <c r="G52" s="47"/>
      <c r="H52" s="47"/>
      <c r="I52" s="47"/>
      <c r="J52" s="47"/>
      <c r="K52" s="47"/>
      <c r="L52" s="47"/>
      <c r="M52" s="47"/>
      <c r="N52" s="47"/>
      <c r="O52" s="47"/>
      <c r="P52" s="47"/>
      <c r="Q52" s="47"/>
      <c r="R52" s="47"/>
    </row>
    <row r="53" spans="1:25" ht="30" customHeight="1" x14ac:dyDescent="0.25">
      <c r="A53" s="56" t="s">
        <v>342</v>
      </c>
      <c r="B53" s="55"/>
      <c r="C53" s="55"/>
      <c r="D53" s="47" t="s">
        <v>343</v>
      </c>
      <c r="E53" s="47"/>
      <c r="F53" s="47"/>
      <c r="G53" s="47"/>
      <c r="H53" s="47"/>
      <c r="I53" s="47"/>
      <c r="J53" s="47"/>
      <c r="K53" s="47"/>
      <c r="L53" s="47"/>
      <c r="M53" s="47"/>
      <c r="N53" s="47"/>
      <c r="O53" s="47"/>
      <c r="P53" s="47"/>
      <c r="Q53" s="47"/>
      <c r="R53" s="47"/>
      <c r="S53" s="47"/>
      <c r="T53" s="47"/>
      <c r="U53" s="47"/>
      <c r="V53" s="47"/>
      <c r="W53" s="47"/>
      <c r="X53" s="47"/>
      <c r="Y53" s="47"/>
    </row>
    <row r="54" spans="1:25" ht="30" customHeight="1" x14ac:dyDescent="0.25">
      <c r="A54" s="56" t="s">
        <v>198</v>
      </c>
      <c r="B54" s="55"/>
      <c r="C54" s="55"/>
      <c r="D54" s="47" t="s">
        <v>344</v>
      </c>
      <c r="E54" s="47"/>
      <c r="F54" s="47"/>
      <c r="G54" s="47"/>
      <c r="H54" s="47"/>
      <c r="I54" s="47"/>
      <c r="J54" s="47"/>
      <c r="K54" s="47"/>
      <c r="L54" s="47"/>
      <c r="M54" s="47"/>
      <c r="N54" s="47"/>
      <c r="O54" s="47"/>
      <c r="P54" s="47"/>
      <c r="Q54" s="47"/>
      <c r="R54" s="47"/>
      <c r="S54" s="47"/>
      <c r="T54" s="47"/>
      <c r="U54" s="47"/>
      <c r="V54" s="47"/>
      <c r="W54" s="47"/>
      <c r="X54" s="47"/>
      <c r="Y54" s="47"/>
    </row>
    <row r="55" spans="1:25" ht="30" customHeight="1" x14ac:dyDescent="0.25">
      <c r="A55" s="56" t="s">
        <v>199</v>
      </c>
      <c r="B55" s="55"/>
      <c r="C55" s="55"/>
      <c r="D55" s="47" t="s">
        <v>200</v>
      </c>
      <c r="E55" s="47"/>
      <c r="F55" s="47"/>
      <c r="G55" s="47"/>
      <c r="H55" s="47"/>
      <c r="I55" s="47"/>
      <c r="J55" s="47"/>
      <c r="K55" s="47"/>
      <c r="L55" s="47"/>
      <c r="M55" s="47"/>
      <c r="N55" s="47"/>
      <c r="O55" s="47"/>
      <c r="P55" s="47"/>
      <c r="Q55" s="47"/>
      <c r="R55" s="47"/>
      <c r="S55" s="47"/>
      <c r="T55" s="47"/>
      <c r="U55" s="47"/>
      <c r="V55" s="47"/>
      <c r="W55" s="47"/>
      <c r="X55" s="47"/>
      <c r="Y55" s="47"/>
    </row>
    <row r="56" spans="1:25" ht="30" customHeight="1" x14ac:dyDescent="0.25">
      <c r="A56" s="56" t="s">
        <v>201</v>
      </c>
      <c r="B56" s="55"/>
      <c r="C56" s="55"/>
      <c r="D56" s="47" t="s">
        <v>202</v>
      </c>
      <c r="E56" s="47"/>
      <c r="F56" s="47"/>
      <c r="G56" s="47"/>
      <c r="H56" s="47"/>
      <c r="I56" s="47"/>
      <c r="J56" s="47"/>
      <c r="K56" s="47"/>
      <c r="L56" s="47"/>
      <c r="M56" s="47"/>
      <c r="N56" s="47"/>
      <c r="O56" s="47"/>
      <c r="P56" s="47"/>
      <c r="Q56" s="47"/>
      <c r="R56" s="47"/>
      <c r="S56" s="47"/>
      <c r="T56" s="47"/>
      <c r="U56" s="47"/>
      <c r="V56" s="47"/>
      <c r="W56" s="47"/>
      <c r="X56" s="47"/>
      <c r="Y56" s="47"/>
    </row>
    <row r="57" spans="1:25" ht="30" customHeight="1" x14ac:dyDescent="0.25">
      <c r="A57" s="56" t="s">
        <v>203</v>
      </c>
      <c r="B57" s="55"/>
      <c r="C57" s="55"/>
      <c r="D57" s="47" t="s">
        <v>516</v>
      </c>
      <c r="E57" s="47"/>
      <c r="F57" s="47"/>
      <c r="G57" s="47"/>
      <c r="H57" s="47"/>
      <c r="I57" s="47"/>
      <c r="J57" s="47"/>
      <c r="K57" s="47"/>
      <c r="L57" s="47"/>
      <c r="M57" s="47"/>
      <c r="N57" s="47"/>
      <c r="O57" s="47"/>
      <c r="P57" s="47"/>
      <c r="Q57" s="47"/>
      <c r="R57" s="47"/>
      <c r="S57" s="47"/>
      <c r="T57" s="47"/>
      <c r="U57" s="47"/>
      <c r="V57" s="47"/>
      <c r="W57" s="47"/>
      <c r="X57" s="47"/>
      <c r="Y57" s="47"/>
    </row>
    <row r="58" spans="1:25" ht="30" customHeight="1" x14ac:dyDescent="0.25">
      <c r="A58" s="56" t="s">
        <v>205</v>
      </c>
      <c r="B58" s="55"/>
      <c r="C58" s="55"/>
      <c r="D58" s="47" t="s">
        <v>289</v>
      </c>
      <c r="E58" s="47"/>
      <c r="F58" s="47"/>
      <c r="G58" s="47"/>
      <c r="H58" s="47"/>
      <c r="I58" s="47"/>
      <c r="J58" s="47"/>
      <c r="K58" s="47"/>
      <c r="L58" s="47"/>
      <c r="M58" s="47"/>
      <c r="N58" s="47"/>
      <c r="O58" s="47"/>
      <c r="P58" s="47"/>
      <c r="Q58" s="47"/>
      <c r="R58" s="47"/>
      <c r="S58" s="47"/>
      <c r="T58" s="47"/>
      <c r="U58" s="47"/>
      <c r="V58" s="47"/>
      <c r="W58" s="47"/>
      <c r="X58" s="47"/>
      <c r="Y58" s="47"/>
    </row>
    <row r="59" spans="1:25" ht="30" customHeight="1" x14ac:dyDescent="0.25">
      <c r="A59" s="56" t="s">
        <v>526</v>
      </c>
      <c r="B59" s="55"/>
      <c r="C59" s="55"/>
      <c r="D59" s="47" t="s">
        <v>345</v>
      </c>
      <c r="E59" s="47"/>
      <c r="F59" s="47"/>
      <c r="G59" s="47"/>
      <c r="H59" s="47"/>
      <c r="I59" s="47"/>
      <c r="J59" s="47"/>
      <c r="K59" s="47"/>
      <c r="L59" s="47"/>
      <c r="M59" s="47"/>
      <c r="N59" s="47"/>
      <c r="O59" s="47"/>
      <c r="P59" s="47"/>
      <c r="Q59" s="47"/>
      <c r="R59" s="47"/>
      <c r="S59" s="47"/>
      <c r="T59" s="47"/>
      <c r="U59" s="47"/>
      <c r="V59" s="47"/>
      <c r="W59" s="47"/>
      <c r="X59" s="47"/>
      <c r="Y59" s="47"/>
    </row>
    <row r="60" spans="1:25" x14ac:dyDescent="0.25">
      <c r="D60" s="61"/>
      <c r="E60" s="61"/>
      <c r="F60" s="61"/>
      <c r="G60" s="61"/>
      <c r="H60" s="61"/>
      <c r="I60" s="61"/>
      <c r="J60" s="61"/>
      <c r="K60" s="61"/>
      <c r="L60" s="61"/>
      <c r="M60" s="61"/>
      <c r="N60" s="61"/>
      <c r="O60" s="61"/>
      <c r="P60" s="61"/>
      <c r="Q60" s="61"/>
      <c r="R60" s="61"/>
      <c r="S60" s="47"/>
      <c r="T60" s="47"/>
      <c r="U60" s="47"/>
      <c r="V60" s="47"/>
      <c r="W60" s="47"/>
      <c r="X60" s="47"/>
      <c r="Y60" s="47"/>
    </row>
    <row r="61" spans="1:25" x14ac:dyDescent="0.25">
      <c r="A61" s="34" t="s">
        <v>241</v>
      </c>
      <c r="D61" s="47"/>
      <c r="E61" s="47"/>
      <c r="F61" s="47"/>
      <c r="G61" s="47"/>
      <c r="H61" s="47"/>
      <c r="I61" s="47"/>
      <c r="J61" s="47"/>
      <c r="K61" s="47"/>
      <c r="L61" s="47"/>
      <c r="M61" s="47"/>
      <c r="N61" s="47"/>
      <c r="O61" s="47"/>
      <c r="P61" s="47"/>
      <c r="Q61" s="47"/>
      <c r="R61" s="47"/>
      <c r="S61" s="47"/>
      <c r="T61" s="47"/>
      <c r="U61" s="47"/>
      <c r="V61" s="47"/>
      <c r="W61" s="47"/>
      <c r="X61" s="47"/>
      <c r="Y61" s="47"/>
    </row>
    <row r="62" spans="1:25" ht="144" customHeight="1" x14ac:dyDescent="0.25">
      <c r="A62" s="13" t="s">
        <v>208</v>
      </c>
      <c r="B62" s="40"/>
      <c r="C62" s="16" t="s">
        <v>290</v>
      </c>
      <c r="D62" s="47" t="s">
        <v>346</v>
      </c>
      <c r="E62" s="47"/>
      <c r="F62" s="47"/>
      <c r="G62" s="47"/>
      <c r="H62" s="47"/>
      <c r="I62" s="47"/>
      <c r="J62" s="47"/>
      <c r="K62" s="47"/>
      <c r="L62" s="47"/>
      <c r="M62" s="47"/>
      <c r="N62" s="47"/>
      <c r="O62" s="47"/>
      <c r="P62" s="47"/>
      <c r="Q62" s="47"/>
      <c r="R62" s="47"/>
      <c r="S62" s="47"/>
      <c r="T62" s="47"/>
      <c r="U62" s="47"/>
      <c r="V62" s="47"/>
      <c r="W62" s="47"/>
      <c r="X62" s="47"/>
      <c r="Y62" s="47"/>
    </row>
  </sheetData>
  <mergeCells count="34">
    <mergeCell ref="D55:R55"/>
    <mergeCell ref="S55:Y55"/>
    <mergeCell ref="D56:R56"/>
    <mergeCell ref="A2:J2"/>
    <mergeCell ref="F4:J4"/>
    <mergeCell ref="K4:O4"/>
    <mergeCell ref="P4:T4"/>
    <mergeCell ref="U4:Y4"/>
    <mergeCell ref="A55:C55"/>
    <mergeCell ref="A52:C52"/>
    <mergeCell ref="A53:C53"/>
    <mergeCell ref="A54:C54"/>
    <mergeCell ref="D58:R58"/>
    <mergeCell ref="S58:Y58"/>
    <mergeCell ref="A59:C59"/>
    <mergeCell ref="D52:R52"/>
    <mergeCell ref="D53:R53"/>
    <mergeCell ref="S53:Y53"/>
    <mergeCell ref="D54:R54"/>
    <mergeCell ref="S54:Y54"/>
    <mergeCell ref="A58:C58"/>
    <mergeCell ref="D59:R59"/>
    <mergeCell ref="S59:Y59"/>
    <mergeCell ref="A56:C56"/>
    <mergeCell ref="A57:C57"/>
    <mergeCell ref="S56:Y56"/>
    <mergeCell ref="D57:R57"/>
    <mergeCell ref="S57:Y57"/>
    <mergeCell ref="D60:R60"/>
    <mergeCell ref="S60:Y60"/>
    <mergeCell ref="D61:R61"/>
    <mergeCell ref="S61:Y61"/>
    <mergeCell ref="D62:R62"/>
    <mergeCell ref="S62:Y62"/>
  </mergeCells>
  <dataValidations count="2">
    <dataValidation type="list" allowBlank="1" sqref="J7 J9:J12 J14:J18 J20:J22 J24:J26 J28:J32 J34:J38 O7 O9:O12 O14:O18 O20:O22 O24:O26 O28:O32 O34:O38 T7 T9:T12 T14:T18 T20:T22 T24:T26 T28:T32 T34:T38 Y7 Y9:Y12 Y14:Y18 Y20:Y22 Y24:Y26 Y28:Y32 Y34:Y38" xr:uid="{B243BB7F-0093-49AC-A8E8-EB3CBBE16BA7}">
      <formula1>"Im Prompt nicht verlangt,Anweisung nicht befolgt,Sachfehler,Widerspruch im Output"</formula1>
    </dataValidation>
    <dataValidation type="list" allowBlank="1" sqref="F34:F36 F38:G38 G7 F9:G11 F14:G18 F20:G22 F24:G25 F28:G32 G34:G37 K34:K36 K38:L38 L7 K9:L11 K14:L18 K20:L22 K24:L25 K28:L32 L34:L37 P34:P36 P38:Q38 Q7 P9:Q11 P14:Q18 P20:Q22 P24:Q25 P28:Q32 Q34:Q37 U34:U36 U38:V38 V7 U9:V11 U14:V18 U20:V22 U24:V25 U28:V32 V34:V37" xr:uid="{160B6F15-1FE7-49A6-BC03-7C55408268CB}">
      <formula1>"0,1,2"</formula1>
    </dataValidation>
  </dataValidations>
  <pageMargins left="0.7" right="0.7" top="0.78740157499999996" bottom="0.78740157499999996" header="0.3" footer="0.3"/>
  <pageSetup paperSize="9" scale="2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39AC-4A45-44BF-B600-6D7A4BE96264}">
  <sheetPr>
    <pageSetUpPr fitToPage="1"/>
  </sheetPr>
  <dimension ref="A1:D115"/>
  <sheetViews>
    <sheetView workbookViewId="0">
      <selection sqref="A1:XFD1048576"/>
    </sheetView>
  </sheetViews>
  <sheetFormatPr baseColWidth="10" defaultRowHeight="15" x14ac:dyDescent="0.25"/>
  <cols>
    <col min="1" max="1" width="12.28515625" customWidth="1"/>
    <col min="2" max="2" width="55.140625" customWidth="1"/>
    <col min="4" max="4" width="109.140625" customWidth="1"/>
  </cols>
  <sheetData>
    <row r="1" spans="1:4" x14ac:dyDescent="0.25">
      <c r="A1" s="62" t="s">
        <v>347</v>
      </c>
      <c r="B1" s="63"/>
      <c r="C1" s="36"/>
      <c r="D1" s="36"/>
    </row>
    <row r="2" spans="1:4" x14ac:dyDescent="0.25">
      <c r="A2" s="36"/>
      <c r="B2" s="36"/>
      <c r="C2" s="36"/>
      <c r="D2" s="36"/>
    </row>
    <row r="3" spans="1:4" x14ac:dyDescent="0.25">
      <c r="A3" s="1" t="s">
        <v>348</v>
      </c>
      <c r="B3" s="1" t="s">
        <v>349</v>
      </c>
      <c r="C3" s="1" t="s">
        <v>350</v>
      </c>
      <c r="D3" s="1" t="s">
        <v>351</v>
      </c>
    </row>
    <row r="4" spans="1:4" x14ac:dyDescent="0.25">
      <c r="A4" s="41" t="s">
        <v>352</v>
      </c>
      <c r="B4" s="41" t="s">
        <v>353</v>
      </c>
      <c r="C4" s="42" t="s">
        <v>354</v>
      </c>
      <c r="D4" s="42" t="s">
        <v>355</v>
      </c>
    </row>
    <row r="5" spans="1:4" ht="30" x14ac:dyDescent="0.25">
      <c r="A5" s="41" t="s">
        <v>352</v>
      </c>
      <c r="B5" s="41" t="s">
        <v>356</v>
      </c>
      <c r="C5" s="42" t="s">
        <v>354</v>
      </c>
      <c r="D5" s="42" t="s">
        <v>357</v>
      </c>
    </row>
    <row r="6" spans="1:4" x14ac:dyDescent="0.25">
      <c r="A6" s="41" t="s">
        <v>352</v>
      </c>
      <c r="B6" s="41" t="s">
        <v>358</v>
      </c>
      <c r="C6" s="42" t="s">
        <v>359</v>
      </c>
      <c r="D6" s="42" t="s">
        <v>360</v>
      </c>
    </row>
    <row r="7" spans="1:4" ht="30" x14ac:dyDescent="0.25">
      <c r="A7" s="41" t="s">
        <v>352</v>
      </c>
      <c r="B7" s="41" t="s">
        <v>361</v>
      </c>
      <c r="C7" s="42" t="s">
        <v>354</v>
      </c>
      <c r="D7" s="42" t="s">
        <v>362</v>
      </c>
    </row>
    <row r="8" spans="1:4" ht="30" x14ac:dyDescent="0.25">
      <c r="A8" s="41" t="s">
        <v>352</v>
      </c>
      <c r="B8" s="41" t="s">
        <v>363</v>
      </c>
      <c r="C8" s="42" t="s">
        <v>359</v>
      </c>
      <c r="D8" s="42" t="s">
        <v>364</v>
      </c>
    </row>
    <row r="9" spans="1:4" ht="30" x14ac:dyDescent="0.25">
      <c r="A9" s="41" t="s">
        <v>352</v>
      </c>
      <c r="B9" s="41" t="s">
        <v>365</v>
      </c>
      <c r="C9" s="42" t="s">
        <v>359</v>
      </c>
      <c r="D9" s="42" t="s">
        <v>366</v>
      </c>
    </row>
    <row r="10" spans="1:4" ht="30" x14ac:dyDescent="0.25">
      <c r="A10" s="41" t="s">
        <v>352</v>
      </c>
      <c r="B10" s="41" t="s">
        <v>367</v>
      </c>
      <c r="C10" s="42" t="s">
        <v>354</v>
      </c>
      <c r="D10" s="42" t="s">
        <v>368</v>
      </c>
    </row>
    <row r="11" spans="1:4" ht="30" x14ac:dyDescent="0.25">
      <c r="A11" s="41" t="s">
        <v>352</v>
      </c>
      <c r="B11" s="41" t="s">
        <v>369</v>
      </c>
      <c r="C11" s="42" t="s">
        <v>359</v>
      </c>
      <c r="D11" s="42" t="s">
        <v>370</v>
      </c>
    </row>
    <row r="12" spans="1:4" ht="30" x14ac:dyDescent="0.25">
      <c r="A12" s="41" t="s">
        <v>352</v>
      </c>
      <c r="B12" s="41" t="s">
        <v>371</v>
      </c>
      <c r="C12" s="42" t="s">
        <v>359</v>
      </c>
      <c r="D12" s="42" t="s">
        <v>372</v>
      </c>
    </row>
    <row r="13" spans="1:4" ht="30" x14ac:dyDescent="0.25">
      <c r="A13" s="41" t="s">
        <v>352</v>
      </c>
      <c r="B13" s="41" t="s">
        <v>373</v>
      </c>
      <c r="C13" s="42" t="s">
        <v>359</v>
      </c>
      <c r="D13" s="42" t="s">
        <v>374</v>
      </c>
    </row>
    <row r="14" spans="1:4" x14ac:dyDescent="0.25">
      <c r="A14" s="41" t="s">
        <v>352</v>
      </c>
      <c r="B14" s="41" t="s">
        <v>375</v>
      </c>
      <c r="C14" s="42" t="s">
        <v>354</v>
      </c>
      <c r="D14" s="42" t="s">
        <v>376</v>
      </c>
    </row>
    <row r="15" spans="1:4" x14ac:dyDescent="0.25">
      <c r="A15" s="41" t="s">
        <v>352</v>
      </c>
      <c r="B15" s="41" t="s">
        <v>377</v>
      </c>
      <c r="C15" s="42" t="s">
        <v>354</v>
      </c>
      <c r="D15" s="42" t="s">
        <v>378</v>
      </c>
    </row>
    <row r="16" spans="1:4" x14ac:dyDescent="0.25">
      <c r="A16" s="41" t="s">
        <v>352</v>
      </c>
      <c r="B16" s="41" t="s">
        <v>379</v>
      </c>
      <c r="C16" s="42" t="s">
        <v>354</v>
      </c>
      <c r="D16" s="42" t="s">
        <v>380</v>
      </c>
    </row>
    <row r="17" spans="1:4" ht="30" x14ac:dyDescent="0.25">
      <c r="A17" s="41" t="s">
        <v>352</v>
      </c>
      <c r="B17" s="41" t="s">
        <v>381</v>
      </c>
      <c r="C17" s="42" t="s">
        <v>354</v>
      </c>
      <c r="D17" s="42" t="s">
        <v>382</v>
      </c>
    </row>
    <row r="18" spans="1:4" x14ac:dyDescent="0.25">
      <c r="A18" s="41" t="s">
        <v>383</v>
      </c>
      <c r="B18" s="41" t="s">
        <v>353</v>
      </c>
      <c r="C18" s="43" t="s">
        <v>354</v>
      </c>
      <c r="D18" s="44" t="s">
        <v>384</v>
      </c>
    </row>
    <row r="19" spans="1:4" ht="30" x14ac:dyDescent="0.25">
      <c r="A19" s="41" t="s">
        <v>383</v>
      </c>
      <c r="B19" s="41" t="s">
        <v>356</v>
      </c>
      <c r="C19" s="43" t="s">
        <v>354</v>
      </c>
      <c r="D19" s="44" t="s">
        <v>385</v>
      </c>
    </row>
    <row r="20" spans="1:4" x14ac:dyDescent="0.25">
      <c r="A20" s="41" t="s">
        <v>383</v>
      </c>
      <c r="B20" s="41" t="s">
        <v>358</v>
      </c>
      <c r="C20" s="43" t="s">
        <v>359</v>
      </c>
      <c r="D20" s="44" t="s">
        <v>386</v>
      </c>
    </row>
    <row r="21" spans="1:4" x14ac:dyDescent="0.25">
      <c r="A21" s="41" t="s">
        <v>383</v>
      </c>
      <c r="B21" s="41" t="s">
        <v>361</v>
      </c>
      <c r="C21" s="43" t="s">
        <v>354</v>
      </c>
      <c r="D21" s="44" t="s">
        <v>387</v>
      </c>
    </row>
    <row r="22" spans="1:4" ht="30" x14ac:dyDescent="0.25">
      <c r="A22" s="41" t="s">
        <v>383</v>
      </c>
      <c r="B22" s="41" t="s">
        <v>363</v>
      </c>
      <c r="C22" s="43" t="s">
        <v>359</v>
      </c>
      <c r="D22" s="44" t="s">
        <v>388</v>
      </c>
    </row>
    <row r="23" spans="1:4" x14ac:dyDescent="0.25">
      <c r="A23" s="41" t="s">
        <v>383</v>
      </c>
      <c r="B23" s="41" t="s">
        <v>365</v>
      </c>
      <c r="C23" s="43" t="s">
        <v>359</v>
      </c>
      <c r="D23" s="44" t="s">
        <v>389</v>
      </c>
    </row>
    <row r="24" spans="1:4" x14ac:dyDescent="0.25">
      <c r="A24" s="41" t="s">
        <v>383</v>
      </c>
      <c r="B24" s="41" t="s">
        <v>367</v>
      </c>
      <c r="C24" s="43" t="s">
        <v>354</v>
      </c>
      <c r="D24" s="44" t="s">
        <v>390</v>
      </c>
    </row>
    <row r="25" spans="1:4" x14ac:dyDescent="0.25">
      <c r="A25" s="41" t="s">
        <v>383</v>
      </c>
      <c r="B25" s="41" t="s">
        <v>369</v>
      </c>
      <c r="C25" s="43" t="s">
        <v>359</v>
      </c>
      <c r="D25" s="44" t="s">
        <v>391</v>
      </c>
    </row>
    <row r="26" spans="1:4" x14ac:dyDescent="0.25">
      <c r="A26" s="41" t="s">
        <v>383</v>
      </c>
      <c r="B26" s="41" t="s">
        <v>371</v>
      </c>
      <c r="C26" s="43" t="s">
        <v>359</v>
      </c>
      <c r="D26" s="44" t="s">
        <v>392</v>
      </c>
    </row>
    <row r="27" spans="1:4" x14ac:dyDescent="0.25">
      <c r="A27" s="41" t="s">
        <v>383</v>
      </c>
      <c r="B27" s="41" t="s">
        <v>373</v>
      </c>
      <c r="C27" s="43" t="s">
        <v>359</v>
      </c>
      <c r="D27" s="44" t="s">
        <v>393</v>
      </c>
    </row>
    <row r="28" spans="1:4" x14ac:dyDescent="0.25">
      <c r="A28" s="41" t="s">
        <v>383</v>
      </c>
      <c r="B28" s="41" t="s">
        <v>375</v>
      </c>
      <c r="C28" s="43" t="s">
        <v>354</v>
      </c>
      <c r="D28" s="44" t="s">
        <v>394</v>
      </c>
    </row>
    <row r="29" spans="1:4" x14ac:dyDescent="0.25">
      <c r="A29" s="41" t="s">
        <v>383</v>
      </c>
      <c r="B29" s="41" t="s">
        <v>377</v>
      </c>
      <c r="C29" s="43" t="s">
        <v>354</v>
      </c>
      <c r="D29" s="44" t="s">
        <v>395</v>
      </c>
    </row>
    <row r="30" spans="1:4" ht="30" x14ac:dyDescent="0.25">
      <c r="A30" s="41" t="s">
        <v>383</v>
      </c>
      <c r="B30" s="41" t="s">
        <v>379</v>
      </c>
      <c r="C30" s="43" t="s">
        <v>359</v>
      </c>
      <c r="D30" s="44" t="s">
        <v>396</v>
      </c>
    </row>
    <row r="31" spans="1:4" x14ac:dyDescent="0.25">
      <c r="A31" s="41" t="s">
        <v>383</v>
      </c>
      <c r="B31" s="41" t="s">
        <v>381</v>
      </c>
      <c r="C31" s="43" t="s">
        <v>359</v>
      </c>
      <c r="D31" s="44" t="s">
        <v>397</v>
      </c>
    </row>
    <row r="32" spans="1:4" x14ac:dyDescent="0.25">
      <c r="A32" s="41" t="s">
        <v>398</v>
      </c>
      <c r="B32" s="41" t="s">
        <v>353</v>
      </c>
      <c r="C32" s="42" t="s">
        <v>354</v>
      </c>
      <c r="D32" s="42" t="s">
        <v>399</v>
      </c>
    </row>
    <row r="33" spans="1:4" ht="30" x14ac:dyDescent="0.25">
      <c r="A33" s="41" t="s">
        <v>398</v>
      </c>
      <c r="B33" s="41" t="s">
        <v>356</v>
      </c>
      <c r="C33" s="42" t="s">
        <v>354</v>
      </c>
      <c r="D33" s="42" t="s">
        <v>400</v>
      </c>
    </row>
    <row r="34" spans="1:4" ht="30" x14ac:dyDescent="0.25">
      <c r="A34" s="41" t="s">
        <v>398</v>
      </c>
      <c r="B34" s="41" t="s">
        <v>358</v>
      </c>
      <c r="C34" s="42" t="s">
        <v>359</v>
      </c>
      <c r="D34" s="42" t="s">
        <v>401</v>
      </c>
    </row>
    <row r="35" spans="1:4" x14ac:dyDescent="0.25">
      <c r="A35" s="41" t="s">
        <v>398</v>
      </c>
      <c r="B35" s="41" t="s">
        <v>361</v>
      </c>
      <c r="C35" s="42" t="s">
        <v>354</v>
      </c>
      <c r="D35" s="42" t="s">
        <v>402</v>
      </c>
    </row>
    <row r="36" spans="1:4" ht="30" x14ac:dyDescent="0.25">
      <c r="A36" s="41" t="s">
        <v>398</v>
      </c>
      <c r="B36" s="41" t="s">
        <v>363</v>
      </c>
      <c r="C36" s="42" t="s">
        <v>359</v>
      </c>
      <c r="D36" s="42" t="s">
        <v>403</v>
      </c>
    </row>
    <row r="37" spans="1:4" ht="30" x14ac:dyDescent="0.25">
      <c r="A37" s="41" t="s">
        <v>398</v>
      </c>
      <c r="B37" s="41" t="s">
        <v>365</v>
      </c>
      <c r="C37" s="42" t="s">
        <v>359</v>
      </c>
      <c r="D37" s="42" t="s">
        <v>404</v>
      </c>
    </row>
    <row r="38" spans="1:4" ht="30" x14ac:dyDescent="0.25">
      <c r="A38" s="41" t="s">
        <v>398</v>
      </c>
      <c r="B38" s="41" t="s">
        <v>367</v>
      </c>
      <c r="C38" s="42" t="s">
        <v>359</v>
      </c>
      <c r="D38" s="42" t="s">
        <v>405</v>
      </c>
    </row>
    <row r="39" spans="1:4" x14ac:dyDescent="0.25">
      <c r="A39" s="41" t="s">
        <v>398</v>
      </c>
      <c r="B39" s="41" t="s">
        <v>369</v>
      </c>
      <c r="C39" s="42" t="s">
        <v>359</v>
      </c>
      <c r="D39" s="42" t="s">
        <v>406</v>
      </c>
    </row>
    <row r="40" spans="1:4" x14ac:dyDescent="0.25">
      <c r="A40" s="41" t="s">
        <v>398</v>
      </c>
      <c r="B40" s="41" t="s">
        <v>371</v>
      </c>
      <c r="C40" s="42" t="s">
        <v>359</v>
      </c>
      <c r="D40" s="42" t="s">
        <v>407</v>
      </c>
    </row>
    <row r="41" spans="1:4" ht="30" x14ac:dyDescent="0.25">
      <c r="A41" s="41" t="s">
        <v>398</v>
      </c>
      <c r="B41" s="41" t="s">
        <v>373</v>
      </c>
      <c r="C41" s="42" t="s">
        <v>359</v>
      </c>
      <c r="D41" s="42" t="s">
        <v>408</v>
      </c>
    </row>
    <row r="42" spans="1:4" ht="30" x14ac:dyDescent="0.25">
      <c r="A42" s="41" t="s">
        <v>398</v>
      </c>
      <c r="B42" s="41" t="s">
        <v>375</v>
      </c>
      <c r="C42" s="42" t="s">
        <v>354</v>
      </c>
      <c r="D42" s="42" t="s">
        <v>409</v>
      </c>
    </row>
    <row r="43" spans="1:4" x14ac:dyDescent="0.25">
      <c r="A43" s="41" t="s">
        <v>398</v>
      </c>
      <c r="B43" s="41" t="s">
        <v>377</v>
      </c>
      <c r="C43" s="42" t="s">
        <v>354</v>
      </c>
      <c r="D43" s="42" t="s">
        <v>410</v>
      </c>
    </row>
    <row r="44" spans="1:4" x14ac:dyDescent="0.25">
      <c r="A44" s="41" t="s">
        <v>398</v>
      </c>
      <c r="B44" s="41" t="s">
        <v>379</v>
      </c>
      <c r="C44" s="42" t="s">
        <v>359</v>
      </c>
      <c r="D44" s="42" t="s">
        <v>411</v>
      </c>
    </row>
    <row r="45" spans="1:4" x14ac:dyDescent="0.25">
      <c r="A45" s="41" t="s">
        <v>398</v>
      </c>
      <c r="B45" s="41" t="s">
        <v>381</v>
      </c>
      <c r="C45" s="42" t="s">
        <v>359</v>
      </c>
      <c r="D45" s="42" t="s">
        <v>412</v>
      </c>
    </row>
    <row r="46" spans="1:4" x14ac:dyDescent="0.25">
      <c r="A46" s="41" t="s">
        <v>413</v>
      </c>
      <c r="B46" s="41" t="s">
        <v>353</v>
      </c>
      <c r="C46" s="42" t="s">
        <v>354</v>
      </c>
      <c r="D46" s="42" t="s">
        <v>414</v>
      </c>
    </row>
    <row r="47" spans="1:4" x14ac:dyDescent="0.25">
      <c r="A47" s="41" t="s">
        <v>413</v>
      </c>
      <c r="B47" s="41" t="s">
        <v>356</v>
      </c>
      <c r="C47" s="42" t="s">
        <v>354</v>
      </c>
      <c r="D47" s="42" t="s">
        <v>415</v>
      </c>
    </row>
    <row r="48" spans="1:4" ht="30" x14ac:dyDescent="0.25">
      <c r="A48" s="41" t="s">
        <v>413</v>
      </c>
      <c r="B48" s="41" t="s">
        <v>358</v>
      </c>
      <c r="C48" s="42" t="s">
        <v>359</v>
      </c>
      <c r="D48" s="42" t="s">
        <v>416</v>
      </c>
    </row>
    <row r="49" spans="1:4" x14ac:dyDescent="0.25">
      <c r="A49" s="41" t="s">
        <v>413</v>
      </c>
      <c r="B49" s="41" t="s">
        <v>361</v>
      </c>
      <c r="C49" s="42" t="s">
        <v>354</v>
      </c>
      <c r="D49" s="42" t="s">
        <v>417</v>
      </c>
    </row>
    <row r="50" spans="1:4" x14ac:dyDescent="0.25">
      <c r="A50" s="41" t="s">
        <v>413</v>
      </c>
      <c r="B50" s="41" t="s">
        <v>363</v>
      </c>
      <c r="C50" s="42" t="s">
        <v>359</v>
      </c>
      <c r="D50" s="42" t="s">
        <v>418</v>
      </c>
    </row>
    <row r="51" spans="1:4" x14ac:dyDescent="0.25">
      <c r="A51" s="41" t="s">
        <v>413</v>
      </c>
      <c r="B51" s="41" t="s">
        <v>365</v>
      </c>
      <c r="C51" s="42" t="s">
        <v>354</v>
      </c>
      <c r="D51" s="42" t="s">
        <v>419</v>
      </c>
    </row>
    <row r="52" spans="1:4" ht="30" x14ac:dyDescent="0.25">
      <c r="A52" s="41" t="s">
        <v>413</v>
      </c>
      <c r="B52" s="41" t="s">
        <v>367</v>
      </c>
      <c r="C52" s="42" t="s">
        <v>420</v>
      </c>
      <c r="D52" s="42" t="s">
        <v>421</v>
      </c>
    </row>
    <row r="53" spans="1:4" ht="30" x14ac:dyDescent="0.25">
      <c r="A53" s="41" t="s">
        <v>413</v>
      </c>
      <c r="B53" s="41" t="s">
        <v>369</v>
      </c>
      <c r="C53" s="42" t="s">
        <v>420</v>
      </c>
      <c r="D53" s="42" t="s">
        <v>422</v>
      </c>
    </row>
    <row r="54" spans="1:4" x14ac:dyDescent="0.25">
      <c r="A54" s="41" t="s">
        <v>413</v>
      </c>
      <c r="B54" s="41" t="s">
        <v>371</v>
      </c>
      <c r="C54" s="42" t="s">
        <v>354</v>
      </c>
      <c r="D54" s="42" t="s">
        <v>423</v>
      </c>
    </row>
    <row r="55" spans="1:4" x14ac:dyDescent="0.25">
      <c r="A55" s="41" t="s">
        <v>413</v>
      </c>
      <c r="B55" s="41" t="s">
        <v>373</v>
      </c>
      <c r="C55" s="42" t="s">
        <v>354</v>
      </c>
      <c r="D55" s="42" t="s">
        <v>424</v>
      </c>
    </row>
    <row r="56" spans="1:4" x14ac:dyDescent="0.25">
      <c r="A56" s="41" t="s">
        <v>413</v>
      </c>
      <c r="B56" s="41" t="s">
        <v>375</v>
      </c>
      <c r="C56" s="42" t="s">
        <v>354</v>
      </c>
      <c r="D56" s="42" t="s">
        <v>425</v>
      </c>
    </row>
    <row r="57" spans="1:4" x14ac:dyDescent="0.25">
      <c r="A57" s="41" t="s">
        <v>413</v>
      </c>
      <c r="B57" s="41" t="s">
        <v>377</v>
      </c>
      <c r="C57" s="42" t="s">
        <v>354</v>
      </c>
      <c r="D57" s="42" t="s">
        <v>410</v>
      </c>
    </row>
    <row r="58" spans="1:4" ht="30" x14ac:dyDescent="0.25">
      <c r="A58" s="41" t="s">
        <v>413</v>
      </c>
      <c r="B58" s="41" t="s">
        <v>379</v>
      </c>
      <c r="C58" s="42" t="s">
        <v>359</v>
      </c>
      <c r="D58" s="42" t="s">
        <v>426</v>
      </c>
    </row>
    <row r="59" spans="1:4" ht="30" x14ac:dyDescent="0.25">
      <c r="A59" s="41" t="s">
        <v>413</v>
      </c>
      <c r="B59" s="41" t="s">
        <v>381</v>
      </c>
      <c r="C59" s="42" t="s">
        <v>420</v>
      </c>
      <c r="D59" s="42" t="s">
        <v>427</v>
      </c>
    </row>
    <row r="60" spans="1:4" x14ac:dyDescent="0.25">
      <c r="A60" s="41" t="s">
        <v>428</v>
      </c>
      <c r="B60" s="41" t="s">
        <v>353</v>
      </c>
      <c r="C60" s="42" t="s">
        <v>354</v>
      </c>
      <c r="D60" s="42" t="s">
        <v>429</v>
      </c>
    </row>
    <row r="61" spans="1:4" x14ac:dyDescent="0.25">
      <c r="A61" s="41" t="s">
        <v>428</v>
      </c>
      <c r="B61" s="41" t="s">
        <v>356</v>
      </c>
      <c r="C61" s="42" t="s">
        <v>354</v>
      </c>
      <c r="D61" s="42" t="s">
        <v>430</v>
      </c>
    </row>
    <row r="62" spans="1:4" x14ac:dyDescent="0.25">
      <c r="A62" s="41" t="s">
        <v>428</v>
      </c>
      <c r="B62" s="41" t="s">
        <v>358</v>
      </c>
      <c r="C62" s="42" t="s">
        <v>359</v>
      </c>
      <c r="D62" s="42" t="s">
        <v>431</v>
      </c>
    </row>
    <row r="63" spans="1:4" x14ac:dyDescent="0.25">
      <c r="A63" s="41" t="s">
        <v>428</v>
      </c>
      <c r="B63" s="41" t="s">
        <v>361</v>
      </c>
      <c r="C63" s="42" t="s">
        <v>354</v>
      </c>
      <c r="D63" s="42" t="s">
        <v>432</v>
      </c>
    </row>
    <row r="64" spans="1:4" x14ac:dyDescent="0.25">
      <c r="A64" s="41" t="s">
        <v>428</v>
      </c>
      <c r="B64" s="41" t="s">
        <v>363</v>
      </c>
      <c r="C64" s="42" t="s">
        <v>359</v>
      </c>
      <c r="D64" s="42" t="s">
        <v>433</v>
      </c>
    </row>
    <row r="65" spans="1:4" ht="30" x14ac:dyDescent="0.25">
      <c r="A65" s="41" t="s">
        <v>428</v>
      </c>
      <c r="B65" s="41" t="s">
        <v>365</v>
      </c>
      <c r="C65" s="42" t="s">
        <v>420</v>
      </c>
      <c r="D65" s="42" t="s">
        <v>434</v>
      </c>
    </row>
    <row r="66" spans="1:4" ht="30" x14ac:dyDescent="0.25">
      <c r="A66" s="41" t="s">
        <v>428</v>
      </c>
      <c r="B66" s="41" t="s">
        <v>367</v>
      </c>
      <c r="C66" s="42" t="s">
        <v>420</v>
      </c>
      <c r="D66" s="42" t="s">
        <v>435</v>
      </c>
    </row>
    <row r="67" spans="1:4" ht="30" x14ac:dyDescent="0.25">
      <c r="A67" s="41" t="s">
        <v>428</v>
      </c>
      <c r="B67" s="41" t="s">
        <v>369</v>
      </c>
      <c r="C67" s="42" t="s">
        <v>359</v>
      </c>
      <c r="D67" s="42" t="s">
        <v>436</v>
      </c>
    </row>
    <row r="68" spans="1:4" x14ac:dyDescent="0.25">
      <c r="A68" s="41" t="s">
        <v>428</v>
      </c>
      <c r="B68" s="41" t="s">
        <v>371</v>
      </c>
      <c r="C68" s="42" t="s">
        <v>354</v>
      </c>
      <c r="D68" s="42" t="s">
        <v>437</v>
      </c>
    </row>
    <row r="69" spans="1:4" x14ac:dyDescent="0.25">
      <c r="A69" s="41" t="s">
        <v>428</v>
      </c>
      <c r="B69" s="41" t="s">
        <v>373</v>
      </c>
      <c r="C69" s="42" t="s">
        <v>354</v>
      </c>
      <c r="D69" s="42" t="s">
        <v>438</v>
      </c>
    </row>
    <row r="70" spans="1:4" x14ac:dyDescent="0.25">
      <c r="A70" s="41" t="s">
        <v>428</v>
      </c>
      <c r="B70" s="41" t="s">
        <v>375</v>
      </c>
      <c r="C70" s="42" t="s">
        <v>354</v>
      </c>
      <c r="D70" s="42" t="s">
        <v>439</v>
      </c>
    </row>
    <row r="71" spans="1:4" x14ac:dyDescent="0.25">
      <c r="A71" s="41" t="s">
        <v>428</v>
      </c>
      <c r="B71" s="41" t="s">
        <v>377</v>
      </c>
      <c r="C71" s="42" t="s">
        <v>354</v>
      </c>
      <c r="D71" s="42" t="s">
        <v>440</v>
      </c>
    </row>
    <row r="72" spans="1:4" ht="30" x14ac:dyDescent="0.25">
      <c r="A72" s="41" t="s">
        <v>428</v>
      </c>
      <c r="B72" s="41" t="s">
        <v>379</v>
      </c>
      <c r="C72" s="42" t="s">
        <v>359</v>
      </c>
      <c r="D72" s="42" t="s">
        <v>441</v>
      </c>
    </row>
    <row r="73" spans="1:4" ht="30" x14ac:dyDescent="0.25">
      <c r="A73" s="41" t="s">
        <v>428</v>
      </c>
      <c r="B73" s="41" t="s">
        <v>381</v>
      </c>
      <c r="C73" s="42" t="s">
        <v>420</v>
      </c>
      <c r="D73" s="42" t="s">
        <v>442</v>
      </c>
    </row>
    <row r="74" spans="1:4" x14ac:dyDescent="0.25">
      <c r="A74" s="41" t="s">
        <v>443</v>
      </c>
      <c r="B74" s="41" t="s">
        <v>353</v>
      </c>
      <c r="C74" s="42" t="s">
        <v>354</v>
      </c>
      <c r="D74" s="42" t="s">
        <v>429</v>
      </c>
    </row>
    <row r="75" spans="1:4" ht="30" x14ac:dyDescent="0.25">
      <c r="A75" s="41" t="s">
        <v>443</v>
      </c>
      <c r="B75" s="41" t="s">
        <v>356</v>
      </c>
      <c r="C75" s="42" t="s">
        <v>354</v>
      </c>
      <c r="D75" s="42" t="s">
        <v>444</v>
      </c>
    </row>
    <row r="76" spans="1:4" x14ac:dyDescent="0.25">
      <c r="A76" s="41" t="s">
        <v>443</v>
      </c>
      <c r="B76" s="41" t="s">
        <v>358</v>
      </c>
      <c r="C76" s="42" t="s">
        <v>359</v>
      </c>
      <c r="D76" s="42" t="s">
        <v>445</v>
      </c>
    </row>
    <row r="77" spans="1:4" x14ac:dyDescent="0.25">
      <c r="A77" s="41" t="s">
        <v>443</v>
      </c>
      <c r="B77" s="41" t="s">
        <v>361</v>
      </c>
      <c r="C77" s="42" t="s">
        <v>354</v>
      </c>
      <c r="D77" s="42" t="s">
        <v>432</v>
      </c>
    </row>
    <row r="78" spans="1:4" x14ac:dyDescent="0.25">
      <c r="A78" s="41" t="s">
        <v>443</v>
      </c>
      <c r="B78" s="41" t="s">
        <v>363</v>
      </c>
      <c r="C78" s="42" t="s">
        <v>359</v>
      </c>
      <c r="D78" s="42" t="s">
        <v>433</v>
      </c>
    </row>
    <row r="79" spans="1:4" x14ac:dyDescent="0.25">
      <c r="A79" s="41" t="s">
        <v>443</v>
      </c>
      <c r="B79" s="41" t="s">
        <v>365</v>
      </c>
      <c r="C79" s="42" t="s">
        <v>354</v>
      </c>
      <c r="D79" s="42" t="s">
        <v>446</v>
      </c>
    </row>
    <row r="80" spans="1:4" ht="30" x14ac:dyDescent="0.25">
      <c r="A80" s="41" t="s">
        <v>443</v>
      </c>
      <c r="B80" s="41" t="s">
        <v>367</v>
      </c>
      <c r="C80" s="42" t="s">
        <v>420</v>
      </c>
      <c r="D80" s="42" t="s">
        <v>447</v>
      </c>
    </row>
    <row r="81" spans="1:4" ht="30" x14ac:dyDescent="0.25">
      <c r="A81" s="41" t="s">
        <v>443</v>
      </c>
      <c r="B81" s="41" t="s">
        <v>369</v>
      </c>
      <c r="C81" s="42" t="s">
        <v>420</v>
      </c>
      <c r="D81" s="42" t="s">
        <v>448</v>
      </c>
    </row>
    <row r="82" spans="1:4" x14ac:dyDescent="0.25">
      <c r="A82" s="41" t="s">
        <v>443</v>
      </c>
      <c r="B82" s="41" t="s">
        <v>371</v>
      </c>
      <c r="C82" s="42" t="s">
        <v>354</v>
      </c>
      <c r="D82" s="42" t="s">
        <v>449</v>
      </c>
    </row>
    <row r="83" spans="1:4" x14ac:dyDescent="0.25">
      <c r="A83" s="41" t="s">
        <v>443</v>
      </c>
      <c r="B83" s="41" t="s">
        <v>373</v>
      </c>
      <c r="C83" s="42" t="s">
        <v>354</v>
      </c>
      <c r="D83" s="42" t="s">
        <v>450</v>
      </c>
    </row>
    <row r="84" spans="1:4" x14ac:dyDescent="0.25">
      <c r="A84" s="41" t="s">
        <v>443</v>
      </c>
      <c r="B84" s="41" t="s">
        <v>375</v>
      </c>
      <c r="C84" s="42" t="s">
        <v>354</v>
      </c>
      <c r="D84" s="42" t="s">
        <v>451</v>
      </c>
    </row>
    <row r="85" spans="1:4" x14ac:dyDescent="0.25">
      <c r="A85" s="41" t="s">
        <v>443</v>
      </c>
      <c r="B85" s="41" t="s">
        <v>377</v>
      </c>
      <c r="C85" s="42" t="s">
        <v>354</v>
      </c>
      <c r="D85" s="42" t="s">
        <v>452</v>
      </c>
    </row>
    <row r="86" spans="1:4" x14ac:dyDescent="0.25">
      <c r="A86" s="41" t="s">
        <v>443</v>
      </c>
      <c r="B86" s="41" t="s">
        <v>379</v>
      </c>
      <c r="C86" s="42" t="s">
        <v>359</v>
      </c>
      <c r="D86" s="42" t="s">
        <v>453</v>
      </c>
    </row>
    <row r="87" spans="1:4" ht="30" x14ac:dyDescent="0.25">
      <c r="A87" s="41" t="s">
        <v>443</v>
      </c>
      <c r="B87" s="41" t="s">
        <v>381</v>
      </c>
      <c r="C87" s="42" t="s">
        <v>420</v>
      </c>
      <c r="D87" s="42" t="s">
        <v>454</v>
      </c>
    </row>
    <row r="88" spans="1:4" x14ac:dyDescent="0.25">
      <c r="A88" s="41" t="s">
        <v>455</v>
      </c>
      <c r="B88" s="41" t="s">
        <v>353</v>
      </c>
      <c r="C88" s="42" t="s">
        <v>354</v>
      </c>
      <c r="D88" s="42" t="s">
        <v>429</v>
      </c>
    </row>
    <row r="89" spans="1:4" x14ac:dyDescent="0.25">
      <c r="A89" s="41" t="s">
        <v>455</v>
      </c>
      <c r="B89" s="41" t="s">
        <v>356</v>
      </c>
      <c r="C89" s="42" t="s">
        <v>354</v>
      </c>
      <c r="D89" s="42" t="s">
        <v>456</v>
      </c>
    </row>
    <row r="90" spans="1:4" x14ac:dyDescent="0.25">
      <c r="A90" s="41" t="s">
        <v>455</v>
      </c>
      <c r="B90" s="41" t="s">
        <v>358</v>
      </c>
      <c r="C90" s="42" t="s">
        <v>359</v>
      </c>
      <c r="D90" s="42" t="s">
        <v>457</v>
      </c>
    </row>
    <row r="91" spans="1:4" x14ac:dyDescent="0.25">
      <c r="A91" s="41" t="s">
        <v>455</v>
      </c>
      <c r="B91" s="41" t="s">
        <v>361</v>
      </c>
      <c r="C91" s="42" t="s">
        <v>354</v>
      </c>
      <c r="D91" s="42" t="s">
        <v>417</v>
      </c>
    </row>
    <row r="92" spans="1:4" x14ac:dyDescent="0.25">
      <c r="A92" s="41" t="s">
        <v>455</v>
      </c>
      <c r="B92" s="41" t="s">
        <v>363</v>
      </c>
      <c r="C92" s="42" t="s">
        <v>359</v>
      </c>
      <c r="D92" s="42" t="s">
        <v>433</v>
      </c>
    </row>
    <row r="93" spans="1:4" x14ac:dyDescent="0.25">
      <c r="A93" s="41" t="s">
        <v>455</v>
      </c>
      <c r="B93" s="41" t="s">
        <v>365</v>
      </c>
      <c r="C93" s="42" t="s">
        <v>354</v>
      </c>
      <c r="D93" s="42" t="s">
        <v>458</v>
      </c>
    </row>
    <row r="94" spans="1:4" ht="30" x14ac:dyDescent="0.25">
      <c r="A94" s="41" t="s">
        <v>455</v>
      </c>
      <c r="B94" s="41" t="s">
        <v>367</v>
      </c>
      <c r="C94" s="42" t="s">
        <v>420</v>
      </c>
      <c r="D94" s="42" t="s">
        <v>459</v>
      </c>
    </row>
    <row r="95" spans="1:4" ht="30" x14ac:dyDescent="0.25">
      <c r="A95" s="41" t="s">
        <v>455</v>
      </c>
      <c r="B95" s="41" t="s">
        <v>369</v>
      </c>
      <c r="C95" s="42" t="s">
        <v>420</v>
      </c>
      <c r="D95" s="42" t="s">
        <v>460</v>
      </c>
    </row>
    <row r="96" spans="1:4" x14ac:dyDescent="0.25">
      <c r="A96" s="41" t="s">
        <v>455</v>
      </c>
      <c r="B96" s="41" t="s">
        <v>371</v>
      </c>
      <c r="C96" s="42" t="s">
        <v>354</v>
      </c>
      <c r="D96" s="42" t="s">
        <v>449</v>
      </c>
    </row>
    <row r="97" spans="1:4" x14ac:dyDescent="0.25">
      <c r="A97" s="41" t="s">
        <v>455</v>
      </c>
      <c r="B97" s="41" t="s">
        <v>373</v>
      </c>
      <c r="C97" s="42" t="s">
        <v>354</v>
      </c>
      <c r="D97" s="42" t="s">
        <v>461</v>
      </c>
    </row>
    <row r="98" spans="1:4" x14ac:dyDescent="0.25">
      <c r="A98" s="41" t="s">
        <v>455</v>
      </c>
      <c r="B98" s="41" t="s">
        <v>375</v>
      </c>
      <c r="C98" s="42" t="s">
        <v>354</v>
      </c>
      <c r="D98" s="42" t="s">
        <v>462</v>
      </c>
    </row>
    <row r="99" spans="1:4" x14ac:dyDescent="0.25">
      <c r="A99" s="41" t="s">
        <v>455</v>
      </c>
      <c r="B99" s="41" t="s">
        <v>377</v>
      </c>
      <c r="C99" s="42" t="s">
        <v>354</v>
      </c>
      <c r="D99" s="42" t="s">
        <v>410</v>
      </c>
    </row>
    <row r="100" spans="1:4" x14ac:dyDescent="0.25">
      <c r="A100" s="41" t="s">
        <v>455</v>
      </c>
      <c r="B100" s="41" t="s">
        <v>379</v>
      </c>
      <c r="C100" s="42" t="s">
        <v>359</v>
      </c>
      <c r="D100" s="42" t="s">
        <v>463</v>
      </c>
    </row>
    <row r="101" spans="1:4" ht="30" x14ac:dyDescent="0.25">
      <c r="A101" s="41" t="s">
        <v>455</v>
      </c>
      <c r="B101" s="41" t="s">
        <v>381</v>
      </c>
      <c r="C101" s="42" t="s">
        <v>420</v>
      </c>
      <c r="D101" s="42" t="s">
        <v>464</v>
      </c>
    </row>
    <row r="102" spans="1:4" x14ac:dyDescent="0.25">
      <c r="A102" s="41" t="s">
        <v>465</v>
      </c>
      <c r="B102" s="41" t="s">
        <v>353</v>
      </c>
      <c r="C102" s="42" t="s">
        <v>354</v>
      </c>
      <c r="D102" s="42" t="s">
        <v>429</v>
      </c>
    </row>
    <row r="103" spans="1:4" x14ac:dyDescent="0.25">
      <c r="A103" s="41" t="s">
        <v>465</v>
      </c>
      <c r="B103" s="41" t="s">
        <v>356</v>
      </c>
      <c r="C103" s="42" t="s">
        <v>354</v>
      </c>
      <c r="D103" s="42" t="s">
        <v>466</v>
      </c>
    </row>
    <row r="104" spans="1:4" x14ac:dyDescent="0.25">
      <c r="A104" s="41" t="s">
        <v>465</v>
      </c>
      <c r="B104" s="41" t="s">
        <v>358</v>
      </c>
      <c r="C104" s="42" t="s">
        <v>359</v>
      </c>
      <c r="D104" s="42" t="s">
        <v>445</v>
      </c>
    </row>
    <row r="105" spans="1:4" x14ac:dyDescent="0.25">
      <c r="A105" s="41" t="s">
        <v>465</v>
      </c>
      <c r="B105" s="41" t="s">
        <v>361</v>
      </c>
      <c r="C105" s="42" t="s">
        <v>354</v>
      </c>
      <c r="D105" s="42" t="s">
        <v>417</v>
      </c>
    </row>
    <row r="106" spans="1:4" x14ac:dyDescent="0.25">
      <c r="A106" s="41" t="s">
        <v>465</v>
      </c>
      <c r="B106" s="41" t="s">
        <v>363</v>
      </c>
      <c r="C106" s="42" t="s">
        <v>359</v>
      </c>
      <c r="D106" s="42" t="s">
        <v>433</v>
      </c>
    </row>
    <row r="107" spans="1:4" ht="30" x14ac:dyDescent="0.25">
      <c r="A107" s="41" t="s">
        <v>465</v>
      </c>
      <c r="B107" s="41" t="s">
        <v>365</v>
      </c>
      <c r="C107" s="42" t="s">
        <v>420</v>
      </c>
      <c r="D107" s="42" t="s">
        <v>467</v>
      </c>
    </row>
    <row r="108" spans="1:4" ht="30" x14ac:dyDescent="0.25">
      <c r="A108" s="41" t="s">
        <v>465</v>
      </c>
      <c r="B108" s="41" t="s">
        <v>367</v>
      </c>
      <c r="C108" s="42" t="s">
        <v>420</v>
      </c>
      <c r="D108" s="42" t="s">
        <v>447</v>
      </c>
    </row>
    <row r="109" spans="1:4" ht="30" x14ac:dyDescent="0.25">
      <c r="A109" s="41" t="s">
        <v>465</v>
      </c>
      <c r="B109" s="41" t="s">
        <v>369</v>
      </c>
      <c r="C109" s="42" t="s">
        <v>420</v>
      </c>
      <c r="D109" s="42" t="s">
        <v>448</v>
      </c>
    </row>
    <row r="110" spans="1:4" x14ac:dyDescent="0.25">
      <c r="A110" s="41" t="s">
        <v>465</v>
      </c>
      <c r="B110" s="41" t="s">
        <v>371</v>
      </c>
      <c r="C110" s="42" t="s">
        <v>354</v>
      </c>
      <c r="D110" s="42" t="s">
        <v>468</v>
      </c>
    </row>
    <row r="111" spans="1:4" x14ac:dyDescent="0.25">
      <c r="A111" s="41" t="s">
        <v>465</v>
      </c>
      <c r="B111" s="41" t="s">
        <v>373</v>
      </c>
      <c r="C111" s="42" t="s">
        <v>354</v>
      </c>
      <c r="D111" s="42" t="s">
        <v>450</v>
      </c>
    </row>
    <row r="112" spans="1:4" ht="30" x14ac:dyDescent="0.25">
      <c r="A112" s="41" t="s">
        <v>465</v>
      </c>
      <c r="B112" s="41" t="s">
        <v>375</v>
      </c>
      <c r="C112" s="42" t="s">
        <v>420</v>
      </c>
      <c r="D112" s="42" t="s">
        <v>469</v>
      </c>
    </row>
    <row r="113" spans="1:4" x14ac:dyDescent="0.25">
      <c r="A113" s="41" t="s">
        <v>465</v>
      </c>
      <c r="B113" s="41" t="s">
        <v>377</v>
      </c>
      <c r="C113" s="42" t="s">
        <v>354</v>
      </c>
      <c r="D113" s="42" t="s">
        <v>470</v>
      </c>
    </row>
    <row r="114" spans="1:4" ht="30" x14ac:dyDescent="0.25">
      <c r="A114" s="41" t="s">
        <v>465</v>
      </c>
      <c r="B114" s="41" t="s">
        <v>379</v>
      </c>
      <c r="C114" s="42" t="s">
        <v>420</v>
      </c>
      <c r="D114" s="42" t="s">
        <v>471</v>
      </c>
    </row>
    <row r="115" spans="1:4" ht="30" x14ac:dyDescent="0.25">
      <c r="A115" s="41" t="s">
        <v>465</v>
      </c>
      <c r="B115" s="41" t="s">
        <v>381</v>
      </c>
      <c r="C115" s="42" t="s">
        <v>420</v>
      </c>
      <c r="D115" s="42" t="s">
        <v>454</v>
      </c>
    </row>
  </sheetData>
  <mergeCells count="1">
    <mergeCell ref="A1:B1"/>
  </mergeCells>
  <conditionalFormatting sqref="C1:C1048576">
    <cfRule type="endsWith" dxfId="3" priority="1" operator="endsWith" text="(begründet)">
      <formula>RIGHT(C1,LEN("(begründet)"))="(begründet)"</formula>
    </cfRule>
  </conditionalFormatting>
  <conditionalFormatting sqref="C4:C115">
    <cfRule type="containsText" dxfId="2" priority="2" operator="containsText" text="abgedeckt">
      <formula>NOT(ISERROR(SEARCH("abgedeckt",C4)))</formula>
    </cfRule>
    <cfRule type="containsText" dxfId="1" priority="3" operator="containsText" text="fehlt">
      <formula>NOT(ISERROR(SEARCH("fehlt",C4)))</formula>
    </cfRule>
    <cfRule type="containsText" dxfId="0" priority="4" operator="containsText" text="fehlt (begründet)">
      <formula>NOT(ISERROR(SEARCH("fehlt (begründet)",C4)))</formula>
    </cfRule>
  </conditionalFormatting>
  <dataValidations count="2">
    <dataValidation type="list" allowBlank="1" sqref="C18:C31" xr:uid="{14C2E831-1F10-490E-9EAE-E7C730A58DAF}">
      <formula1>"abgedeckt,fehlt (begründet),fehlt"</formula1>
      <formula2>0</formula2>
    </dataValidation>
    <dataValidation type="list" allowBlank="1" sqref="C4:C17 C32:C115" xr:uid="{D30F6617-0834-4E9E-B07A-6A4E34453636}">
      <formula1>"abgedeckt,fehlt (begründet),fehlt"</formula1>
    </dataValidation>
  </dataValidations>
  <pageMargins left="0.7" right="0.7" top="0.78740157499999996" bottom="0.78740157499999996" header="0.3" footer="0.3"/>
  <pageSetup paperSize="9" scale="6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846F-B448-447B-B6AB-C9E7ECBA1B9D}">
  <sheetPr>
    <pageSetUpPr fitToPage="1"/>
  </sheetPr>
  <dimension ref="A1:H32"/>
  <sheetViews>
    <sheetView workbookViewId="0">
      <selection activeCell="D1" sqref="D1:D1048576"/>
    </sheetView>
  </sheetViews>
  <sheetFormatPr baseColWidth="10" defaultRowHeight="15" x14ac:dyDescent="0.25"/>
  <cols>
    <col min="3" max="3" width="13" bestFit="1" customWidth="1"/>
  </cols>
  <sheetData>
    <row r="1" spans="1:8" ht="18.75" x14ac:dyDescent="0.3">
      <c r="A1" s="15" t="s">
        <v>472</v>
      </c>
    </row>
    <row r="3" spans="1:8" x14ac:dyDescent="0.25">
      <c r="A3" s="37" t="s">
        <v>2</v>
      </c>
      <c r="B3" s="37" t="s">
        <v>7</v>
      </c>
      <c r="C3" s="37" t="s">
        <v>5</v>
      </c>
      <c r="D3" s="37" t="s">
        <v>352</v>
      </c>
      <c r="E3" s="37" t="s">
        <v>383</v>
      </c>
      <c r="F3" s="37" t="s">
        <v>398</v>
      </c>
      <c r="G3" s="37" t="s">
        <v>413</v>
      </c>
      <c r="H3" s="37" t="s">
        <v>473</v>
      </c>
    </row>
    <row r="4" spans="1:8" x14ac:dyDescent="0.25">
      <c r="A4" t="s">
        <v>11</v>
      </c>
      <c r="B4" t="s">
        <v>15</v>
      </c>
      <c r="C4" t="s">
        <v>14</v>
      </c>
      <c r="D4" s="35">
        <v>2</v>
      </c>
      <c r="E4" s="35">
        <v>2</v>
      </c>
      <c r="F4" s="35">
        <v>2</v>
      </c>
      <c r="G4" s="35">
        <v>2</v>
      </c>
      <c r="H4" s="38">
        <v>2</v>
      </c>
    </row>
    <row r="5" spans="1:8" x14ac:dyDescent="0.25">
      <c r="A5" t="s">
        <v>19</v>
      </c>
      <c r="B5" t="s">
        <v>15</v>
      </c>
      <c r="C5" t="s">
        <v>14</v>
      </c>
      <c r="D5" s="35">
        <v>1</v>
      </c>
      <c r="E5" s="35">
        <v>2</v>
      </c>
      <c r="F5" s="35">
        <v>2</v>
      </c>
      <c r="G5" s="35">
        <v>2</v>
      </c>
      <c r="H5" s="38">
        <v>2</v>
      </c>
    </row>
    <row r="6" spans="1:8" x14ac:dyDescent="0.25">
      <c r="A6" t="s">
        <v>23</v>
      </c>
      <c r="B6" t="s">
        <v>15</v>
      </c>
      <c r="C6" t="s">
        <v>14</v>
      </c>
      <c r="D6" s="35">
        <v>0</v>
      </c>
      <c r="E6" s="35">
        <v>2</v>
      </c>
      <c r="F6" s="35">
        <v>2</v>
      </c>
      <c r="G6" s="35">
        <v>2</v>
      </c>
      <c r="H6" s="38">
        <v>2</v>
      </c>
    </row>
    <row r="7" spans="1:8" x14ac:dyDescent="0.25">
      <c r="A7" t="s">
        <v>27</v>
      </c>
      <c r="B7" t="s">
        <v>15</v>
      </c>
      <c r="C7" t="s">
        <v>14</v>
      </c>
      <c r="D7" s="35">
        <v>0</v>
      </c>
      <c r="E7" s="35">
        <v>2</v>
      </c>
      <c r="F7" s="35">
        <v>2</v>
      </c>
      <c r="G7" s="35">
        <v>2</v>
      </c>
      <c r="H7" s="38">
        <v>2</v>
      </c>
    </row>
    <row r="8" spans="1:8" x14ac:dyDescent="0.25">
      <c r="A8" t="s">
        <v>31</v>
      </c>
      <c r="B8" t="s">
        <v>15</v>
      </c>
      <c r="C8" t="s">
        <v>34</v>
      </c>
      <c r="D8" s="39">
        <v>0.57140000000000002</v>
      </c>
      <c r="E8" s="39">
        <v>0.43</v>
      </c>
      <c r="F8" s="39">
        <v>0.36</v>
      </c>
      <c r="G8" s="39">
        <v>0.79</v>
      </c>
      <c r="H8" s="39">
        <v>0.78749999999999998</v>
      </c>
    </row>
    <row r="9" spans="1:8" x14ac:dyDescent="0.25">
      <c r="A9" t="s">
        <v>38</v>
      </c>
      <c r="B9" t="s">
        <v>41</v>
      </c>
      <c r="C9" t="s">
        <v>14</v>
      </c>
      <c r="D9" s="35">
        <v>0</v>
      </c>
      <c r="E9" s="35">
        <v>2</v>
      </c>
      <c r="F9" s="35">
        <v>2</v>
      </c>
      <c r="G9" s="35">
        <v>2</v>
      </c>
      <c r="H9" s="38">
        <v>2</v>
      </c>
    </row>
    <row r="10" spans="1:8" x14ac:dyDescent="0.25">
      <c r="A10" t="s">
        <v>43</v>
      </c>
      <c r="B10" t="s">
        <v>41</v>
      </c>
      <c r="C10" t="s">
        <v>14</v>
      </c>
      <c r="D10" s="35">
        <v>0</v>
      </c>
      <c r="E10" s="35">
        <v>0</v>
      </c>
      <c r="F10" s="35">
        <v>0</v>
      </c>
      <c r="G10" s="35">
        <v>0</v>
      </c>
      <c r="H10" s="38">
        <v>1.5</v>
      </c>
    </row>
    <row r="11" spans="1:8" x14ac:dyDescent="0.25">
      <c r="A11" t="s">
        <v>47</v>
      </c>
      <c r="B11" t="s">
        <v>41</v>
      </c>
      <c r="C11" t="s">
        <v>14</v>
      </c>
      <c r="D11" s="35">
        <v>0</v>
      </c>
      <c r="E11" s="35">
        <v>2</v>
      </c>
      <c r="F11" s="35">
        <v>0</v>
      </c>
      <c r="G11" s="35">
        <v>2</v>
      </c>
      <c r="H11" s="38">
        <v>2</v>
      </c>
    </row>
    <row r="12" spans="1:8" x14ac:dyDescent="0.25">
      <c r="A12" t="s">
        <v>51</v>
      </c>
      <c r="B12" t="s">
        <v>41</v>
      </c>
      <c r="C12" t="s">
        <v>54</v>
      </c>
      <c r="D12" s="35">
        <v>0</v>
      </c>
      <c r="E12" s="35">
        <v>2</v>
      </c>
      <c r="F12" s="35">
        <v>0</v>
      </c>
      <c r="G12" s="35">
        <v>1</v>
      </c>
      <c r="H12" s="38">
        <v>2</v>
      </c>
    </row>
    <row r="13" spans="1:8" x14ac:dyDescent="0.25">
      <c r="A13" t="s">
        <v>56</v>
      </c>
      <c r="B13" t="s">
        <v>41</v>
      </c>
      <c r="C13" t="s">
        <v>54</v>
      </c>
      <c r="D13" s="35">
        <v>0</v>
      </c>
      <c r="E13" s="35">
        <v>0</v>
      </c>
      <c r="F13" s="35">
        <v>0</v>
      </c>
      <c r="G13" s="35">
        <v>0</v>
      </c>
      <c r="H13" s="38">
        <v>0.75</v>
      </c>
    </row>
    <row r="14" spans="1:8" x14ac:dyDescent="0.25">
      <c r="A14" t="s">
        <v>61</v>
      </c>
      <c r="B14" t="s">
        <v>41</v>
      </c>
      <c r="C14" t="s">
        <v>14</v>
      </c>
      <c r="D14" s="35">
        <v>1</v>
      </c>
      <c r="E14" s="35">
        <v>2</v>
      </c>
      <c r="F14" s="35">
        <v>2</v>
      </c>
      <c r="G14" s="35">
        <v>2</v>
      </c>
      <c r="H14" s="38">
        <v>2</v>
      </c>
    </row>
    <row r="15" spans="1:8" x14ac:dyDescent="0.25">
      <c r="A15" t="s">
        <v>65</v>
      </c>
      <c r="B15" t="s">
        <v>41</v>
      </c>
      <c r="C15" t="s">
        <v>54</v>
      </c>
      <c r="D15" s="35">
        <v>1</v>
      </c>
      <c r="E15" s="35">
        <v>2</v>
      </c>
      <c r="F15" s="35">
        <v>2</v>
      </c>
      <c r="G15" s="35">
        <v>2</v>
      </c>
      <c r="H15" s="38">
        <v>2</v>
      </c>
    </row>
    <row r="16" spans="1:8" x14ac:dyDescent="0.25">
      <c r="A16" t="s">
        <v>69</v>
      </c>
      <c r="B16" t="s">
        <v>41</v>
      </c>
      <c r="C16" t="s">
        <v>54</v>
      </c>
      <c r="D16" s="35">
        <v>0</v>
      </c>
      <c r="E16" s="35">
        <v>2</v>
      </c>
      <c r="F16" s="35">
        <v>2</v>
      </c>
      <c r="G16" s="35">
        <v>2</v>
      </c>
      <c r="H16" s="38">
        <v>2</v>
      </c>
    </row>
    <row r="17" spans="1:8" x14ac:dyDescent="0.25">
      <c r="A17" t="s">
        <v>74</v>
      </c>
      <c r="B17" t="s">
        <v>77</v>
      </c>
      <c r="C17" t="s">
        <v>14</v>
      </c>
      <c r="D17" s="35">
        <v>0</v>
      </c>
      <c r="E17" s="35">
        <v>0</v>
      </c>
      <c r="F17" s="35">
        <v>2</v>
      </c>
      <c r="G17" s="35">
        <v>2</v>
      </c>
      <c r="H17" s="38">
        <v>2</v>
      </c>
    </row>
    <row r="18" spans="1:8" x14ac:dyDescent="0.25">
      <c r="A18" t="s">
        <v>79</v>
      </c>
      <c r="B18" t="s">
        <v>77</v>
      </c>
      <c r="C18" t="s">
        <v>14</v>
      </c>
      <c r="D18" s="35">
        <v>1</v>
      </c>
      <c r="E18" s="35">
        <v>2</v>
      </c>
      <c r="F18" s="35">
        <v>2</v>
      </c>
      <c r="G18" s="35">
        <v>2</v>
      </c>
      <c r="H18" s="38">
        <v>2</v>
      </c>
    </row>
    <row r="19" spans="1:8" x14ac:dyDescent="0.25">
      <c r="A19" t="s">
        <v>83</v>
      </c>
      <c r="B19" t="s">
        <v>77</v>
      </c>
      <c r="C19" t="s">
        <v>34</v>
      </c>
      <c r="D19" s="39" t="s">
        <v>157</v>
      </c>
      <c r="E19" s="39">
        <v>0.92</v>
      </c>
      <c r="F19" s="39">
        <v>0.91</v>
      </c>
      <c r="G19" s="39">
        <v>1</v>
      </c>
      <c r="H19" s="39">
        <v>1</v>
      </c>
    </row>
    <row r="20" spans="1:8" x14ac:dyDescent="0.25">
      <c r="A20" t="s">
        <v>88</v>
      </c>
      <c r="B20" t="s">
        <v>91</v>
      </c>
      <c r="C20" t="s">
        <v>14</v>
      </c>
      <c r="D20" s="35">
        <v>1</v>
      </c>
      <c r="E20" s="35">
        <v>2</v>
      </c>
      <c r="F20" s="35">
        <v>2</v>
      </c>
      <c r="G20" s="35">
        <v>2</v>
      </c>
      <c r="H20" s="38">
        <v>2</v>
      </c>
    </row>
    <row r="21" spans="1:8" x14ac:dyDescent="0.25">
      <c r="A21" t="s">
        <v>93</v>
      </c>
      <c r="B21" t="s">
        <v>91</v>
      </c>
      <c r="C21" t="s">
        <v>96</v>
      </c>
      <c r="D21" s="35">
        <v>0</v>
      </c>
      <c r="E21" s="35">
        <v>2</v>
      </c>
      <c r="F21" s="35">
        <v>2</v>
      </c>
      <c r="G21" s="35">
        <v>2</v>
      </c>
      <c r="H21" s="38">
        <v>1</v>
      </c>
    </row>
    <row r="22" spans="1:8" x14ac:dyDescent="0.25">
      <c r="A22" t="s">
        <v>98</v>
      </c>
      <c r="B22" t="s">
        <v>91</v>
      </c>
      <c r="C22" t="s">
        <v>14</v>
      </c>
      <c r="D22" s="35">
        <v>1</v>
      </c>
      <c r="E22" s="35">
        <v>2</v>
      </c>
      <c r="F22" s="35">
        <v>2</v>
      </c>
      <c r="G22" s="35">
        <v>2</v>
      </c>
      <c r="H22" s="38">
        <v>2</v>
      </c>
    </row>
    <row r="23" spans="1:8" x14ac:dyDescent="0.25">
      <c r="A23" t="s">
        <v>102</v>
      </c>
      <c r="B23" t="s">
        <v>91</v>
      </c>
      <c r="C23" t="s">
        <v>14</v>
      </c>
      <c r="D23" s="35">
        <v>1</v>
      </c>
      <c r="E23" s="35">
        <v>2</v>
      </c>
      <c r="F23" s="35">
        <v>2</v>
      </c>
      <c r="G23" s="35">
        <v>2</v>
      </c>
      <c r="H23" s="38">
        <v>2</v>
      </c>
    </row>
    <row r="24" spans="1:8" x14ac:dyDescent="0.25">
      <c r="A24" t="s">
        <v>106</v>
      </c>
      <c r="B24" t="s">
        <v>91</v>
      </c>
      <c r="C24" t="s">
        <v>54</v>
      </c>
      <c r="D24" s="35">
        <v>0</v>
      </c>
      <c r="E24" s="35">
        <v>1</v>
      </c>
      <c r="F24" s="35">
        <v>1</v>
      </c>
      <c r="G24" s="35">
        <v>2</v>
      </c>
      <c r="H24" s="38">
        <v>2</v>
      </c>
    </row>
    <row r="25" spans="1:8" x14ac:dyDescent="0.25">
      <c r="A25" t="s">
        <v>110</v>
      </c>
      <c r="B25" t="s">
        <v>113</v>
      </c>
      <c r="C25" t="s">
        <v>14</v>
      </c>
      <c r="D25" s="35">
        <v>0</v>
      </c>
      <c r="E25" s="35">
        <v>2</v>
      </c>
      <c r="F25" s="35">
        <v>2</v>
      </c>
      <c r="G25" s="35">
        <v>2</v>
      </c>
      <c r="H25" s="38">
        <v>2</v>
      </c>
    </row>
    <row r="26" spans="1:8" x14ac:dyDescent="0.25">
      <c r="A26" t="s">
        <v>115</v>
      </c>
      <c r="B26" t="s">
        <v>113</v>
      </c>
      <c r="C26" t="s">
        <v>96</v>
      </c>
      <c r="D26" s="35">
        <v>0</v>
      </c>
      <c r="E26" s="35">
        <v>1</v>
      </c>
      <c r="F26" s="35">
        <v>1</v>
      </c>
      <c r="G26" s="35">
        <v>1</v>
      </c>
      <c r="H26" s="38">
        <v>1.75</v>
      </c>
    </row>
    <row r="27" spans="1:8" x14ac:dyDescent="0.25">
      <c r="A27" t="s">
        <v>119</v>
      </c>
      <c r="B27" t="s">
        <v>113</v>
      </c>
      <c r="C27" t="s">
        <v>14</v>
      </c>
      <c r="D27" s="35">
        <v>0</v>
      </c>
      <c r="E27" s="35">
        <v>2</v>
      </c>
      <c r="F27" s="35">
        <v>2</v>
      </c>
      <c r="G27" s="35">
        <v>2</v>
      </c>
      <c r="H27" s="38">
        <v>2</v>
      </c>
    </row>
    <row r="28" spans="1:8" x14ac:dyDescent="0.25">
      <c r="A28" t="s">
        <v>123</v>
      </c>
      <c r="B28" t="s">
        <v>113</v>
      </c>
      <c r="C28" t="s">
        <v>14</v>
      </c>
      <c r="D28" s="35">
        <v>2</v>
      </c>
      <c r="E28" s="35">
        <v>2</v>
      </c>
      <c r="F28" s="35">
        <v>2</v>
      </c>
      <c r="G28" s="35">
        <v>2</v>
      </c>
      <c r="H28" s="38">
        <v>2</v>
      </c>
    </row>
    <row r="29" spans="1:8" x14ac:dyDescent="0.25">
      <c r="A29" t="s">
        <v>127</v>
      </c>
      <c r="B29" t="s">
        <v>113</v>
      </c>
      <c r="C29" t="s">
        <v>14</v>
      </c>
      <c r="D29" s="35">
        <v>2</v>
      </c>
      <c r="E29" s="35">
        <v>2</v>
      </c>
      <c r="F29" s="35">
        <v>2</v>
      </c>
      <c r="G29" s="35">
        <v>2</v>
      </c>
      <c r="H29" s="38">
        <v>2</v>
      </c>
    </row>
    <row r="31" spans="1:8" x14ac:dyDescent="0.25">
      <c r="A31" s="34" t="s">
        <v>196</v>
      </c>
      <c r="D31" s="35" t="s">
        <v>140</v>
      </c>
      <c r="E31" s="35" t="s">
        <v>140</v>
      </c>
      <c r="F31" s="35" t="s">
        <v>140</v>
      </c>
      <c r="G31" s="35" t="s">
        <v>140</v>
      </c>
    </row>
    <row r="32" spans="1:8" x14ac:dyDescent="0.25">
      <c r="A32" s="34" t="s">
        <v>474</v>
      </c>
      <c r="H32" s="39">
        <v>0.75</v>
      </c>
    </row>
  </sheetData>
  <pageMargins left="0.7" right="0.7" top="0.78740157499999996" bottom="0.78740157499999996" header="0.3" footer="0.3"/>
  <pageSetup paperSize="9" scale="98"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Prüfblatt</vt:lpstr>
      <vt:lpstr>V0</vt:lpstr>
      <vt:lpstr>V1</vt:lpstr>
      <vt:lpstr>V2</vt:lpstr>
      <vt:lpstr>V3</vt:lpstr>
      <vt:lpstr>V3 + Kontext</vt:lpstr>
      <vt:lpstr>Prüfliste A4</vt:lpstr>
      <vt:lpstr>Vergleich (summiert)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 Ernst</dc:creator>
  <cp:lastModifiedBy>Jana Ernst</cp:lastModifiedBy>
  <cp:lastPrinted>2026-10-31T22:01:10Z</cp:lastPrinted>
  <dcterms:created xsi:type="dcterms:W3CDTF">2026-10-31T19:54:00Z</dcterms:created>
  <dcterms:modified xsi:type="dcterms:W3CDTF">2026-10-31T22:01:10Z</dcterms:modified>
</cp:coreProperties>
</file>